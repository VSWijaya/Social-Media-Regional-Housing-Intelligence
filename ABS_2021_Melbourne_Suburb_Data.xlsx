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65bd5f5b3d49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3c504286e96d43ad"/>
    <x:sheet xmlns:r="http://schemas.openxmlformats.org/officeDocument/2006/relationships" name="Dashboard Core" sheetId="2" r:id="R09a2d43ae68d4702"/>
    <x:sheet xmlns:r="http://schemas.openxmlformats.org/officeDocument/2006/relationships" name="Suburb Metrics" sheetId="3" r:id="R64957e1cddc34d8a"/>
    <x:sheet xmlns:r="http://schemas.openxmlformats.org/officeDocument/2006/relationships" name="ABS Extract" sheetId="4" r:id="R0ac9053c65764c10"/>
    <x:sheet xmlns:r="http://schemas.openxmlformats.org/officeDocument/2006/relationships" name="Data Dictionary" sheetId="5" r:id="Ref94144682d64a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@"/>
    <x:numFmt numFmtId="201" formatCode="0.0000"/>
    <x:numFmt numFmtId="202" formatCode="#,##0"/>
    <x:numFmt numFmtId="203" formatCode="0"/>
    <x:numFmt numFmtId="204" formatCode="$#,##0"/>
    <x:numFmt numFmtId="205" formatCode="0.0"/>
    <x:numFmt numFmtId="206" formatCode="0.0%"/>
  </x:numFmts>
  <x:fonts count="14">
    <x:font>
      <x:sz val="11"/>
      <x:name val="Carlito"/>
    </x:font>
    <x:font>
      <x:b/>
      <x:sz val="18"/>
      <x:color rgb="FFFFFFFF"/>
      <x:name val="Carlito"/>
    </x:font>
    <x:font>
      <x:b/>
      <x:sz val="12"/>
      <x:color rgb="FFFFFFFF"/>
      <x:name val="Carlito"/>
    </x:font>
    <x:font>
      <x:sz val="11"/>
      <x:color rgb="FF153A5B"/>
      <x:name val="Carlito"/>
    </x:font>
    <x:font>
      <x:b/>
      <x:sz val="11"/>
      <x:color rgb="FFFFFFFF"/>
      <x:name val="Carlito"/>
    </x:font>
    <x:font>
      <x:sz val="11"/>
      <x:color rgb="FF6B4A00"/>
      <x:name val="Carlito"/>
    </x:font>
    <x:font>
      <x:b/>
      <x:sz val="11"/>
      <x:color rgb="FF153A5B"/>
      <x:name val="Carlito"/>
    </x:font>
    <x:font>
      <x:b/>
      <x:sz val="18"/>
      <x:color rgb="FFFFFFFF"/>
      <x:name val="Aptos"/>
    </x:font>
    <x:font>
      <x:sz val="11"/>
      <x:name val="Aptos"/>
    </x:font>
    <x:font>
      <x:b/>
      <x:sz val="12"/>
      <x:color rgb="FFFFFFFF"/>
      <x:name val="Aptos"/>
    </x:font>
    <x:font>
      <x:sz val="11"/>
      <x:color rgb="FF153A5B"/>
      <x:name val="Aptos"/>
    </x:font>
    <x:font>
      <x:b/>
      <x:sz val="11"/>
      <x:color rgb="FFFFFFFF"/>
      <x:name val="Aptos"/>
    </x:font>
    <x:font>
      <x:sz val="11"/>
      <x:color rgb="FF6B4A00"/>
      <x:name val="Aptos"/>
    </x:font>
    <x:font>
      <x:b/>
      <x:sz val="11"/>
      <x:color rgb="FF153A5B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53A5B"/>
      </x:patternFill>
    </x:fill>
    <x:fill>
      <x:patternFill patternType="solid">
        <x:fgColor rgb="FF167D8D"/>
      </x:patternFill>
    </x:fill>
    <x:fill>
      <x:patternFill patternType="solid">
        <x:fgColor rgb="FFEAF3F8"/>
      </x:patternFill>
    </x:fill>
    <x:fill>
      <x:patternFill patternType="solid">
        <x:fgColor rgb="FFB86B00"/>
      </x:patternFill>
    </x:fill>
    <x:fill>
      <x:patternFill patternType="solid">
        <x:fgColor rgb="FFFFF5D6"/>
      </x:patternFill>
    </x:fill>
    <x:fill>
      <x:patternFill patternType="solid">
        <x:fgColor rgb="FFE7F5F3"/>
      </x:patternFill>
    </x:fill>
  </x:fills>
  <x:borders count="4">
    <x:border/>
    <x:border>
      <x:left style="thin">
        <x:color rgb="FF167D8D"/>
      </x:left>
      <x:top style="thin">
        <x:color rgb="FF167D8D"/>
      </x:top>
      <x:bottom style="thin">
        <x:color rgb="FF167D8D"/>
      </x:bottom>
    </x:border>
    <x:border>
      <x:top style="thin">
        <x:color rgb="FF167D8D"/>
      </x:top>
      <x:bottom style="thin">
        <x:color rgb="FF167D8D"/>
      </x:bottom>
    </x:border>
    <x:border>
      <x:right style="thin">
        <x:color rgb="FF167D8D"/>
      </x:right>
      <x:top style="thin">
        <x:color rgb="FF167D8D"/>
      </x:top>
      <x:bottom style="thin">
        <x:color rgb="FF167D8D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9" fillId="3" borderId="0" xfId="0" applyNumberFormat="1" applyFont="1" applyFill="1" applyBorder="1"/>
    <x:xf numFmtId="0" fontId="10" fillId="4" borderId="0" xfId="0" applyNumberFormat="1" applyFont="1" applyFill="1" applyBorder="1" applyAlignment="1">
      <x:alignment vertical="top" wrapText="1"/>
    </x:xf>
    <x:xf numFmtId="0" fontId="11" fillId="3" borderId="1" xfId="0" applyNumberFormat="1" applyFont="1" applyFill="1" applyBorder="1" applyAlignment="1">
      <x:alignment vertical="center" wrapText="1"/>
    </x:xf>
    <x:xf numFmtId="0" fontId="11" fillId="3" borderId="2" xfId="0" applyNumberFormat="1" applyFont="1" applyFill="1" applyBorder="1" applyAlignment="1">
      <x:alignment vertical="center" wrapText="1"/>
    </x:xf>
    <x:xf numFmtId="0" fontId="11" fillId="3" borderId="3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wrapText="1"/>
    </x:xf>
    <x:xf numFmtId="0" fontId="11" fillId="5" borderId="0" xfId="0" applyNumberFormat="1" applyFont="1" applyFill="1" applyBorder="1"/>
    <x:xf numFmtId="0" fontId="12" fillId="6" borderId="0" xfId="0" applyNumberFormat="1" applyFont="1" applyFill="1" applyBorder="1" applyAlignment="1">
      <x:alignment wrapText="1"/>
    </x:xf>
    <x:xf numFmtId="0" fontId="13" fillId="7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10" fillId="4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 applyAlignment="1">
      <x:alignment vertical="center"/>
    </x:xf>
    <x:xf numFmtId="0" fontId="12" fillId="6" borderId="0" xfId="0" applyNumberFormat="1" applyFont="1" applyFill="1" applyBorder="1" applyAlignment="1">
      <x:alignment vertical="center" wrapText="1"/>
    </x:xf>
    <x:xf numFmtId="0" fontId="13" fillId="7" borderId="0" xfId="0" applyNumberFormat="1" applyFont="1" applyFill="1" applyBorder="1" applyAlignment="1">
      <x:alignment vertical="center" wrapText="1"/>
    </x:xf>
    <x:xf numFmtId="200" fontId="4" fillId="3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0" fontId="11" fillId="3" borderId="1" xfId="0" applyNumberFormat="1" applyFont="1" applyFill="1" applyBorder="1" applyAlignment="1">
      <x:alignment vertical="center" wrapText="1"/>
    </x:xf>
    <x:xf numFmtId="206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f653bbf9dd43eb" /><Relationship Type="http://schemas.openxmlformats.org/officeDocument/2006/relationships/theme" Target="/xl/theme/theme1.xml" Id="Ra4af718572f64a4a" /><Relationship Type="http://schemas.openxmlformats.org/officeDocument/2006/relationships/sharedStrings" Target="/xl/sharedStrings.xml" Id="Re9d079a8da724a0b" /><Relationship Type="http://schemas.openxmlformats.org/officeDocument/2006/relationships/worksheet" Target="/xl/worksheets/sheet1.xml" Id="R3c504286e96d43ad" /><Relationship Type="http://schemas.openxmlformats.org/officeDocument/2006/relationships/worksheet" Target="/xl/worksheets/sheet2.xml" Id="R09a2d43ae68d4702" /><Relationship Type="http://schemas.openxmlformats.org/officeDocument/2006/relationships/worksheet" Target="/xl/worksheets/sheet3.xml" Id="R64957e1cddc34d8a" /><Relationship Type="http://schemas.openxmlformats.org/officeDocument/2006/relationships/worksheet" Target="/xl/worksheets/sheet4.xml" Id="R0ac9053c65764c10" /><Relationship Type="http://schemas.openxmlformats.org/officeDocument/2006/relationships/worksheet" Target="/xl/worksheets/sheet5.xml" Id="Ref94144682d64a22" /><Relationship Type="http://schemas.microsoft.com/office/2017/10/relationships/person" Target="/xl/persons/person.xml" Id="R90632538fc034bda" /></Relationships>
</file>

<file path=xl/persons/person.xml><?xml version="1.0" encoding="utf-8"?>
<xltc:personList xmlns:xltc="http://schemas.microsoft.com/office/spreadsheetml/2018/threadedcomments">
  <xltc:person displayName="Vincent Wijaya" id="{620887C6-35FB-448D-9B76-49F9D9851D57}"/>
</xltc:personList>
</file>

<file path=xl/tables/table1.xml><?xml version="1.0" encoding="utf-8"?>
<x:table xmlns:x="http://schemas.openxmlformats.org/spreadsheetml/2006/main" id="1" name="CoverageTable" displayName="CoverageTable" ref="A10:D14" headerRowCount="1" totalsRowCount="0" totalsRowShown="0">
  <x:autoFilter ref="A10:D14"/>
  <x:tableColumns count="4">
    <x:tableColumn id="1" name="Good ABS coverage"/>
    <x:tableColumn id="2" name="Project topic"/>
    <x:tableColumn id="3" name="Use in dashboard"/>
    <x:tableColumn id="4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apTable" displayName="GapTable" ref="A16:D18" headerRowCount="1" totalsRowCount="0" totalsRowShown="0">
  <x:autoFilter ref="A16:D18"/>
  <x:tableColumns count="4">
    <x:tableColumn id="1" name="Gap"/>
    <x:tableColumn id="2" name="Why ABS Census is insufficient"/>
    <x:tableColumn id="3" name="Recommended later source"/>
    <x:tableColumn id="4" name="Dashboard handli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Table" displayName="SourceTable" ref="A27:B31" headerRowCount="1" totalsRowCount="0" totalsRowShown="0">
  <x:autoFilter ref="A27:B31"/>
  <x:tableColumns count="2">
    <x:tableColumn id="1" name="Source"/>
    <x:tableColumn id="2" name="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6" name="DashboardCoreTable" displayName="DashboardCoreTable" ref="A1:Q11" headerRowCount="1" totalsRowCount="0" totalsRowShown="0">
  <x:autoFilter ref="A1:Q11"/>
  <x:tableColumns count="17">
    <x:tableColumn id="1" name="sal_code"/>
    <x:tableColumn id="2" name="suburb"/>
    <x:tableColumn id="3" name="population"/>
    <x:tableColumn id="4" name="population_density_per_sq_km"/>
    <x:tableColumn id="5" name="median_age_years"/>
    <x:tableColumn id="6" name="age_25_44_share"/>
    <x:tableColumn id="7" name="families_with_children_under_15_share"/>
    <x:tableColumn id="8" name="median_household_income_weekly_aud"/>
    <x:tableColumn id="9" name="median_rent_weekly_aud"/>
    <x:tableColumn id="10" name="median_mortgage_monthly_aud"/>
    <x:tableColumn id="11" name="renter_share"/>
    <x:tableColumn id="12" name="apartment_share"/>
    <x:tableColumn id="13" name="labour_force_participation_rate"/>
    <x:tableColumn id="14" name="unemployment_rate"/>
    <x:tableColumn id="15" name="bachelor_or_higher_share_age_15_plus"/>
    <x:tableColumn id="16" name="census_year"/>
    <x:tableColumn id="17" name="source_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uburbMetricsTable" displayName="SuburbMetricsTable" ref="A1:X11" headerRowCount="1" totalsRowCount="0" totalsRowShown="0">
  <x:autoFilter ref="A1:X11"/>
  <x:tableColumns count="24">
    <x:tableColumn id="1" name="sal_code"/>
    <x:tableColumn id="2" name="suburb"/>
    <x:tableColumn id="3" name="population"/>
    <x:tableColumn id="4" name="area_sq_km"/>
    <x:tableColumn id="5" name="population_density_per_sq_km"/>
    <x:tableColumn id="6" name="median_age_years"/>
    <x:tableColumn id="7" name="age_25_44_share"/>
    <x:tableColumn id="8" name="average_household_size"/>
    <x:tableColumn id="9" name="families_with_children_under_15_share"/>
    <x:tableColumn id="10" name="median_household_income_weekly_aud"/>
    <x:tableColumn id="11" name="median_rent_weekly_aud"/>
    <x:tableColumn id="12" name="median_mortgage_monthly_aud"/>
    <x:tableColumn id="13" name="renter_share"/>
    <x:tableColumn id="14" name="owned_with_mortgage_share"/>
    <x:tableColumn id="15" name="owned_outright_share"/>
    <x:tableColumn id="16" name="separate_house_share"/>
    <x:tableColumn id="17" name="townhouse_terrace_share"/>
    <x:tableColumn id="18" name="apartment_share"/>
    <x:tableColumn id="19" name="unoccupied_private_dwelling_share"/>
    <x:tableColumn id="20" name="zero_vehicle_household_share"/>
    <x:tableColumn id="21" name="labour_force_participation_rate"/>
    <x:tableColumn id="22" name="unemployment_rate"/>
    <x:tableColumn id="23" name="bachelor_or_higher_share_age_15_plus"/>
    <x:tableColumn id="24" name="source_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4" name="ABSExtractTable" displayName="ABSExtractTable" ref="A1:AG11" headerRowCount="1" totalsRowCount="0" totalsRowShown="0">
  <x:autoFilter ref="A1:AG11"/>
  <x:tableColumns count="33">
    <x:tableColumn id="1" name="sal_code"/>
    <x:tableColumn id="2" name="suburb"/>
    <x:tableColumn id="3" name="area_sq_km"/>
    <x:tableColumn id="4" name="population"/>
    <x:tableColumn id="5" name="age_25_34_count"/>
    <x:tableColumn id="6" name="age_35_44_count"/>
    <x:tableColumn id="7" name="median_age_years"/>
    <x:tableColumn id="8" name="median_household_income_weekly_aud"/>
    <x:tableColumn id="9" name="median_rent_weekly_aud"/>
    <x:tableColumn id="10" name="median_mortgage_monthly_aud"/>
    <x:tableColumn id="11" name="average_household_size"/>
    <x:tableColumn id="12" name="families_total"/>
    <x:tableColumn id="13" name="couple_families_children_under_15"/>
    <x:tableColumn id="14" name="one_parent_families_children_under_15"/>
    <x:tableColumn id="15" name="occupied_private_dwellings"/>
    <x:tableColumn id="16" name="total_private_dwellings"/>
    <x:tableColumn id="17" name="unoccupied_private_dwellings"/>
    <x:tableColumn id="18" name="separate_house_dwellings"/>
    <x:tableColumn id="19" name="townhouse_terrace_dwellings"/>
    <x:tableColumn id="20" name="apartment_dwellings"/>
    <x:tableColumn id="21" name="tenure_dwellings_total"/>
    <x:tableColumn id="22" name="owned_outright_dwellings"/>
    <x:tableColumn id="23" name="owned_with_mortgage_dwellings"/>
    <x:tableColumn id="24" name="rented_dwellings"/>
    <x:tableColumn id="25" name="zero_vehicle_households"/>
    <x:tableColumn id="26" name="vehicle_households_total"/>
    <x:tableColumn id="27" name="persons_15_plus"/>
    <x:tableColumn id="28" name="labour_force_participation_pct_raw"/>
    <x:tableColumn id="29" name="unemployment_pct_raw"/>
    <x:tableColumn id="30" name="postgraduate_degree_count"/>
    <x:tableColumn id="31" name="graduate_diploma_certificate_count"/>
    <x:tableColumn id="32" name="bachelor_degree_count"/>
    <x:tableColumn id="33" name="source_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ictionaryTable" displayName="DictionaryTable" ref="A1:H21" headerRowCount="1" totalsRowCount="0" totalsRowShown="0">
  <x:autoFilter ref="A1:H21"/>
  <x:tableColumns count="8">
    <x:tableColumn id="1" name="metric"/>
    <x:tableColumn id="2" name="topic"/>
    <x:tableColumn id="3" name="definition_or_formula"/>
    <x:tableColumn id="4" name="ABS_table"/>
    <x:tableColumn id="5" name="ABS_source_columns"/>
    <x:tableColumn id="6" name="recommended_use"/>
    <x:tableColumn id="7" name="important_caveat"/>
    <x:tableColumn id="8" name="include_in_dashboard_co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bd5f8b397c4055" /><Relationship Type="http://schemas.openxmlformats.org/officeDocument/2006/relationships/table" Target="/xl/tables/table2.xml" Id="Rdc5e0dcba9334eb3" /><Relationship Type="http://schemas.openxmlformats.org/officeDocument/2006/relationships/table" Target="/xl/tables/table3.xml" Id="Rcb8da3860c39409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121edc8ac8aa43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5b8fd713218748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36fbaf566d3843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7.xml" Id="R0c0aded7db6e45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66" hidden="0" customWidth="1"/>
    <x:col min="3" max="3" width="43" hidden="0" customWidth="1"/>
    <x:col min="4" max="4" width="45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4" customHeight="1">
      <x:c r="A1" s="29" t="str">
        <x:v>ABS 2021 data for the Melbourne suburb sentiment dashboard</x:v>
      </x:c>
      <x:c r="B1" s="29" t="str">
        <x:v>ABS 2021 data for the Melbourne suburb sentiment dashboard</x:v>
      </x:c>
      <x:c r="C1" s="29" t="str">
        <x:v>ABS 2021 data for the Melbourne suburb sentiment dashboard</x:v>
      </x:c>
      <x:c r="D1" s="29" t="str">
        <x:v>ABS 2021 data for the Melbourne suburb sentiment dashboard</x:v>
      </x:c>
      <x:c r="E1" s="29" t="str">
        <x:v>ABS 2021 data for the Melbourne suburb sentiment dashboard</x:v>
      </x:c>
      <x:c r="F1" s="29" t="str">
        <x:v>ABS 2021 data for the Melbourne suburb sentiment dashboard</x:v>
      </x:c>
      <x:c r="G1" s="29" t="str">
        <x:v>ABS 2021 data for the Melbourne suburb sentiment dashboard</x:v>
      </x:c>
      <x:c r="H1" s="29" t="str">
        <x:v>ABS 2021 data for the Melbourne suburb sentiment dashboard</x:v>
      </x:c>
    </x:row>
    <x:row r="2" ht="34" customHeight="1">
      <x:c r="A2" s="29" t="str">
        <x:v>ABS 2021 data for the Melbourne suburb sentiment dashboard</x:v>
      </x:c>
      <x:c r="B2" s="29" t="str">
        <x:v>ABS 2021 data for the Melbourne suburb sentiment dashboard</x:v>
      </x:c>
      <x:c r="C2" s="29" t="str">
        <x:v>ABS 2021 data for the Melbourne suburb sentiment dashboard</x:v>
      </x:c>
      <x:c r="D2" s="29" t="str">
        <x:v>ABS 2021 data for the Melbourne suburb sentiment dashboard</x:v>
      </x:c>
      <x:c r="E2" s="29" t="str">
        <x:v>ABS 2021 data for the Melbourne suburb sentiment dashboard</x:v>
      </x:c>
      <x:c r="F2" s="29" t="str">
        <x:v>ABS 2021 data for the Melbourne suburb sentiment dashboard</x:v>
      </x:c>
      <x:c r="G2" s="29" t="str">
        <x:v>ABS 2021 data for the Melbourne suburb sentiment dashboard</x:v>
      </x:c>
      <x:c r="H2" s="29" t="str">
        <x:v>ABS 2021 data for the Melbourne suburb sentiment dashboard</x:v>
      </x:c>
    </x:row>
    <x:row r="3">
      <x:c r="A3" s="40"/>
      <x:c r="B3" s="40"/>
      <x:c r="C3" s="40"/>
      <x:c r="D3" s="40"/>
      <x:c r="E3" s="40"/>
      <x:c r="F3" s="40"/>
      <x:c r="G3" s="40"/>
      <x:c r="H3" s="40"/>
    </x:row>
    <x:row r="4">
      <x:c r="A4" s="41" t="str">
        <x:v>Recommended approach</x:v>
      </x:c>
      <x:c r="B4" s="41" t="str">
        <x:v>Recommended approach</x:v>
      </x:c>
      <x:c r="C4" s="41" t="str">
        <x:v>Recommended approach</x:v>
      </x:c>
      <x:c r="D4" s="41" t="str">
        <x:v>Recommended approach</x:v>
      </x:c>
      <x:c r="E4" s="41" t="str">
        <x:v>Recommended approach</x:v>
      </x:c>
      <x:c r="F4" s="41" t="str">
        <x:v>Recommended approach</x:v>
      </x:c>
      <x:c r="G4" s="41" t="str">
        <x:v>Recommended approach</x:v>
      </x:c>
      <x:c r="H4" s="41" t="str">
        <x:v>Recommended approach</x:v>
      </x:c>
    </x:row>
    <x:row r="5">
      <x:c r="A5" s="42" t="str">
        <x:v>Use the 2021 General Community Profile for Suburbs and Localities (SAL). It matches the project's named-suburb interface and provides a consistent structured context layer beside Reddit/Whirlpool sentiment. The Dashboard Core sheet contains the smallest defensible set for the interface; Suburb Metrics contains additional useful fields; ABS Extract preserves the selected published inputs.</x:v>
      </x:c>
      <x:c r="B5" s="42" t="str">
        <x:v>Use the 2021 General Community Profile for Suburbs and Localities (SAL). It matches the project's named-suburb interface and provides a consistent structured context layer beside Reddit/Whirlpool sentiment. The Dashboard Core sheet contains the smallest defensible set for the interface; Suburb Metrics contains additional useful fields; ABS Extract preserves the selected published inputs.</x:v>
      </x:c>
      <x:c r="C5" s="42" t="str">
        <x:v>Use the 2021 General Community Profile for Suburbs and Localities (SAL). It matches the project's named-suburb interface and provides a consistent structured context layer beside Reddit/Whirlpool sentiment. The Dashboard Core sheet contains the smallest defensible set for the interface; Suburb Metrics contains additional useful fields; ABS Extract preserves the selected published inputs.</x:v>
      </x:c>
      <x:c r="D5" s="42" t="str">
        <x:v>Use the 2021 General Community Profile for Suburbs and Localities (SAL). It matches the project's named-suburb interface and provides a consistent structured context layer beside Reddit/Whirlpool sentiment. The Dashboard Core sheet contains the smallest defensible set for the interface; Suburb Metrics contains additional useful fields; ABS Extract preserves the selected published inputs.</x:v>
      </x:c>
      <x:c r="E5" s="42" t="str">
        <x:v>Use the 2021 General Community Profile for Suburbs and Localities (SAL). It matches the project's named-suburb interface and provides a consistent structured context layer beside Reddit/Whirlpool sentiment. The Dashboard Core sheet contains the smallest defensible set for the interface; Suburb Metrics contains additional useful fields; ABS Extract preserves the selected published inputs.</x:v>
      </x:c>
      <x:c r="F5" s="42" t="str">
        <x:v>Use the 2021 General Community Profile for Suburbs and Localities (SAL). It matches the project's named-suburb interface and provides a consistent structured context layer beside Reddit/Whirlpool sentiment. The Dashboard Core sheet contains the smallest defensible set for the interface; Suburb Metrics contains additional useful fields; ABS Extract preserves the selected published inputs.</x:v>
      </x:c>
      <x:c r="G5" s="42" t="str">
        <x:v>Use the 2021 General Community Profile for Suburbs and Localities (SAL). It matches the project's named-suburb interface and provides a consistent structured context layer beside Reddit/Whirlpool sentiment. The Dashboard Core sheet contains the smallest defensible set for the interface; Suburb Metrics contains additional useful fields; ABS Extract preserves the selected published inputs.</x:v>
      </x:c>
      <x:c r="H5" s="42" t="str">
        <x:v>Use the 2021 General Community Profile for Suburbs and Localities (SAL). It matches the project's named-suburb interface and provides a consistent structured context layer beside Reddit/Whirlpool sentiment. The Dashboard Core sheet contains the smallest defensible set for the interface; Suburb Metrics contains additional useful fields; ABS Extract preserves the selected published inputs.</x:v>
      </x:c>
    </x:row>
    <x:row r="6">
      <x:c r="A6" s="42" t="str">
        <x:v>Use the 2021 General Community Profile for Suburbs and Localities (SAL). It matches the project's named-suburb interface and provides a consistent structured context layer beside Reddit/Whirlpool sentiment. The Dashboard Core sheet contains the smallest defensible set for the interface; Suburb Metrics contains additional useful fields; ABS Extract preserves the selected published inputs.</x:v>
      </x:c>
      <x:c r="B6" s="42" t="str">
        <x:v>Use the 2021 General Community Profile for Suburbs and Localities (SAL). It matches the project's named-suburb interface and provides a consistent structured context layer beside Reddit/Whirlpool sentiment. The Dashboard Core sheet contains the smallest defensible set for the interface; Suburb Metrics contains additional useful fields; ABS Extract preserves the selected published inputs.</x:v>
      </x:c>
      <x:c r="C6" s="42" t="str">
        <x:v>Use the 2021 General Community Profile for Suburbs and Localities (SAL). It matches the project's named-suburb interface and provides a consistent structured context layer beside Reddit/Whirlpool sentiment. The Dashboard Core sheet contains the smallest defensible set for the interface; Suburb Metrics contains additional useful fields; ABS Extract preserves the selected published inputs.</x:v>
      </x:c>
      <x:c r="D6" s="42" t="str">
        <x:v>Use the 2021 General Community Profile for Suburbs and Localities (SAL). It matches the project's named-suburb interface and provides a consistent structured context layer beside Reddit/Whirlpool sentiment. The Dashboard Core sheet contains the smallest defensible set for the interface; Suburb Metrics contains additional useful fields; ABS Extract preserves the selected published inputs.</x:v>
      </x:c>
      <x:c r="E6" s="42" t="str">
        <x:v>Use the 2021 General Community Profile for Suburbs and Localities (SAL). It matches the project's named-suburb interface and provides a consistent structured context layer beside Reddit/Whirlpool sentiment. The Dashboard Core sheet contains the smallest defensible set for the interface; Suburb Metrics contains additional useful fields; ABS Extract preserves the selected published inputs.</x:v>
      </x:c>
      <x:c r="F6" s="42" t="str">
        <x:v>Use the 2021 General Community Profile for Suburbs and Localities (SAL). It matches the project's named-suburb interface and provides a consistent structured context layer beside Reddit/Whirlpool sentiment. The Dashboard Core sheet contains the smallest defensible set for the interface; Suburb Metrics contains additional useful fields; ABS Extract preserves the selected published inputs.</x:v>
      </x:c>
      <x:c r="G6" s="42" t="str">
        <x:v>Use the 2021 General Community Profile for Suburbs and Localities (SAL). It matches the project's named-suburb interface and provides a consistent structured context layer beside Reddit/Whirlpool sentiment. The Dashboard Core sheet contains the smallest defensible set for the interface; Suburb Metrics contains additional useful fields; ABS Extract preserves the selected published inputs.</x:v>
      </x:c>
      <x:c r="H6" s="42" t="str">
        <x:v>Use the 2021 General Community Profile for Suburbs and Localities (SAL). It matches the project's named-suburb interface and provides a consistent structured context layer beside Reddit/Whirlpool sentiment. The Dashboard Core sheet contains the smallest defensible set for the interface; Suburb Metrics contains additional useful fields; ABS Extract preserves the selected published inputs.</x:v>
      </x:c>
    </x:row>
    <x:row r="7">
      <x:c r="A7" s="42" t="str">
        <x:v>Use the 2021 General Community Profile for Suburbs and Localities (SAL). It matches the project's named-suburb interface and provides a consistent structured context layer beside Reddit/Whirlpool sentiment. The Dashboard Core sheet contains the smallest defensible set for the interface; Suburb Metrics contains additional useful fields; ABS Extract preserves the selected published inputs.</x:v>
      </x:c>
      <x:c r="B7" s="42" t="str">
        <x:v>Use the 2021 General Community Profile for Suburbs and Localities (SAL). It matches the project's named-suburb interface and provides a consistent structured context layer beside Reddit/Whirlpool sentiment. The Dashboard Core sheet contains the smallest defensible set for the interface; Suburb Metrics contains additional useful fields; ABS Extract preserves the selected published inputs.</x:v>
      </x:c>
      <x:c r="C7" s="42" t="str">
        <x:v>Use the 2021 General Community Profile for Suburbs and Localities (SAL). It matches the project's named-suburb interface and provides a consistent structured context layer beside Reddit/Whirlpool sentiment. The Dashboard Core sheet contains the smallest defensible set for the interface; Suburb Metrics contains additional useful fields; ABS Extract preserves the selected published inputs.</x:v>
      </x:c>
      <x:c r="D7" s="42" t="str">
        <x:v>Use the 2021 General Community Profile for Suburbs and Localities (SAL). It matches the project's named-suburb interface and provides a consistent structured context layer beside Reddit/Whirlpool sentiment. The Dashboard Core sheet contains the smallest defensible set for the interface; Suburb Metrics contains additional useful fields; ABS Extract preserves the selected published inputs.</x:v>
      </x:c>
      <x:c r="E7" s="42" t="str">
        <x:v>Use the 2021 General Community Profile for Suburbs and Localities (SAL). It matches the project's named-suburb interface and provides a consistent structured context layer beside Reddit/Whirlpool sentiment. The Dashboard Core sheet contains the smallest defensible set for the interface; Suburb Metrics contains additional useful fields; ABS Extract preserves the selected published inputs.</x:v>
      </x:c>
      <x:c r="F7" s="42" t="str">
        <x:v>Use the 2021 General Community Profile for Suburbs and Localities (SAL). It matches the project's named-suburb interface and provides a consistent structured context layer beside Reddit/Whirlpool sentiment. The Dashboard Core sheet contains the smallest defensible set for the interface; Suburb Metrics contains additional useful fields; ABS Extract preserves the selected published inputs.</x:v>
      </x:c>
      <x:c r="G7" s="42" t="str">
        <x:v>Use the 2021 General Community Profile for Suburbs and Localities (SAL). It matches the project's named-suburb interface and provides a consistent structured context layer beside Reddit/Whirlpool sentiment. The Dashboard Core sheet contains the smallest defensible set for the interface; Suburb Metrics contains additional useful fields; ABS Extract preserves the selected published inputs.</x:v>
      </x:c>
      <x:c r="H7" s="42" t="str">
        <x:v>Use the 2021 General Community Profile for Suburbs and Localities (SAL). It matches the project's named-suburb interface and provides a consistent structured context layer beside Reddit/Whirlpool sentiment. The Dashboard Core sheet contains the smallest defensible set for the interface; Suburb Metrics contains additional useful fields; ABS Extract preserves the selected published inputs.</x:v>
      </x:c>
    </x:row>
    <x:row r="8">
      <x:c r="A8" s="42" t="str">
        <x:v>Use the 2021 General Community Profile for Suburbs and Localities (SAL). It matches the project's named-suburb interface and provides a consistent structured context layer beside Reddit/Whirlpool sentiment. The Dashboard Core sheet contains the smallest defensible set for the interface; Suburb Metrics contains additional useful fields; ABS Extract preserves the selected published inputs.</x:v>
      </x:c>
      <x:c r="B8" s="42" t="str">
        <x:v>Use the 2021 General Community Profile for Suburbs and Localities (SAL). It matches the project's named-suburb interface and provides a consistent structured context layer beside Reddit/Whirlpool sentiment. The Dashboard Core sheet contains the smallest defensible set for the interface; Suburb Metrics contains additional useful fields; ABS Extract preserves the selected published inputs.</x:v>
      </x:c>
      <x:c r="C8" s="42" t="str">
        <x:v>Use the 2021 General Community Profile for Suburbs and Localities (SAL). It matches the project's named-suburb interface and provides a consistent structured context layer beside Reddit/Whirlpool sentiment. The Dashboard Core sheet contains the smallest defensible set for the interface; Suburb Metrics contains additional useful fields; ABS Extract preserves the selected published inputs.</x:v>
      </x:c>
      <x:c r="D8" s="42" t="str">
        <x:v>Use the 2021 General Community Profile for Suburbs and Localities (SAL). It matches the project's named-suburb interface and provides a consistent structured context layer beside Reddit/Whirlpool sentiment. The Dashboard Core sheet contains the smallest defensible set for the interface; Suburb Metrics contains additional useful fields; ABS Extract preserves the selected published inputs.</x:v>
      </x:c>
      <x:c r="E8" s="42" t="str">
        <x:v>Use the 2021 General Community Profile for Suburbs and Localities (SAL). It matches the project's named-suburb interface and provides a consistent structured context layer beside Reddit/Whirlpool sentiment. The Dashboard Core sheet contains the smallest defensible set for the interface; Suburb Metrics contains additional useful fields; ABS Extract preserves the selected published inputs.</x:v>
      </x:c>
      <x:c r="F8" s="42" t="str">
        <x:v>Use the 2021 General Community Profile for Suburbs and Localities (SAL). It matches the project's named-suburb interface and provides a consistent structured context layer beside Reddit/Whirlpool sentiment. The Dashboard Core sheet contains the smallest defensible set for the interface; Suburb Metrics contains additional useful fields; ABS Extract preserves the selected published inputs.</x:v>
      </x:c>
      <x:c r="G8" s="42" t="str">
        <x:v>Use the 2021 General Community Profile for Suburbs and Localities (SAL). It matches the project's named-suburb interface and provides a consistent structured context layer beside Reddit/Whirlpool sentiment. The Dashboard Core sheet contains the smallest defensible set for the interface; Suburb Metrics contains additional useful fields; ABS Extract preserves the selected published inputs.</x:v>
      </x:c>
      <x:c r="H8" s="42" t="str">
        <x:v>Use the 2021 General Community Profile for Suburbs and Localities (SAL). It matches the project's named-suburb interface and provides a consistent structured context layer beside Reddit/Whirlpool sentiment. The Dashboard Core sheet contains the smallest defensible set for the interface; Suburb Metrics contains additional useful fields; ABS Extract preserves the selected published inputs.</x:v>
      </x:c>
    </x:row>
    <x:row r="9">
      <x:c r="A9" s="40"/>
      <x:c r="B9" s="40"/>
      <x:c r="C9" s="40"/>
      <x:c r="D9" s="40"/>
      <x:c r="E9" s="40"/>
      <x:c r="F9" s="40"/>
      <x:c r="G9" s="40"/>
      <x:c r="H9" s="40"/>
    </x:row>
    <x:row r="10" ht="52" customHeight="1">
      <x:c r="A10" s="33" t="str">
        <x:v>Good ABS coverage</x:v>
      </x:c>
      <x:c r="B10" s="34" t="str">
        <x:v>Project topic</x:v>
      </x:c>
      <x:c r="C10" s="34" t="str">
        <x:v>Use in dashboard</x:v>
      </x:c>
      <x:c r="D10" s="35" t="str">
        <x:v>Status</x:v>
      </x:c>
      <x:c r="E10" s="40"/>
      <x:c r="F10" s="40"/>
      <x:c r="G10" s="40"/>
      <x:c r="H10" s="40"/>
    </x:row>
    <x:row r="11" ht="38" customHeight="1">
      <x:c r="A11" s="43" t="str">
        <x:v>Rent, mortgage repayments, household income and tenure</x:v>
      </x:c>
      <x:c r="B11" s="43" t="str">
        <x:v>Affordability</x:v>
      </x:c>
      <x:c r="C11" s="43" t="str">
        <x:v>Context cards and suburb comparison</x:v>
      </x:c>
      <x:c r="D11" s="43" t="str">
        <x:v>Strong</x:v>
      </x:c>
      <x:c r="E11" s="40"/>
      <x:c r="F11" s="40"/>
      <x:c r="G11" s="40"/>
      <x:c r="H11" s="40"/>
    </x:row>
    <x:row r="12" ht="38" customHeight="1">
      <x:c r="A12" s="43" t="str">
        <x:v>Labour-force participation, unemployment and qualifications</x:v>
      </x:c>
      <x:c r="B12" s="43" t="str">
        <x:v>Education &amp; employment</x:v>
      </x:c>
      <x:c r="C12" s="43" t="str">
        <x:v>Context cards and suburb comparison</x:v>
      </x:c>
      <x:c r="D12" s="43" t="str">
        <x:v>Strong</x:v>
      </x:c>
      <x:c r="E12" s="40"/>
      <x:c r="F12" s="40"/>
      <x:c r="G12" s="40"/>
      <x:c r="H12" s="40"/>
    </x:row>
    <x:row r="13" ht="38" customHeight="1">
      <x:c r="A13" s="43" t="str">
        <x:v>Dwelling mix, household size, children and vehicle availability</x:v>
      </x:c>
      <x:c r="B13" s="43" t="str">
        <x:v>Lifestyle &amp; housing context</x:v>
      </x:c>
      <x:c r="C13" s="43" t="str">
        <x:v>Explain the character of each suburb</x:v>
      </x:c>
      <x:c r="D13" s="43" t="str">
        <x:v>Partial</x:v>
      </x:c>
      <x:c r="E13" s="40"/>
      <x:c r="F13" s="40"/>
      <x:c r="G13" s="40"/>
      <x:c r="H13" s="40"/>
    </x:row>
    <x:row r="14" ht="38" customHeight="1">
      <x:c r="A14" s="43" t="str">
        <x:v>Population, density, age and target-age share</x:v>
      </x:c>
      <x:c r="B14" s="43" t="str">
        <x:v>General context</x:v>
      </x:c>
      <x:c r="C14" s="43" t="str">
        <x:v>Suburb overview</x:v>
      </x:c>
      <x:c r="D14" s="43" t="str">
        <x:v>Strong</x:v>
      </x:c>
      <x:c r="E14" s="40"/>
      <x:c r="F14" s="40"/>
      <x:c r="G14" s="40"/>
      <x:c r="H14" s="40"/>
    </x:row>
    <x:row r="15">
      <x:c r="A15" s="40"/>
      <x:c r="B15" s="40"/>
      <x:c r="C15" s="40"/>
      <x:c r="D15" s="40"/>
      <x:c r="E15" s="40"/>
      <x:c r="F15" s="40"/>
      <x:c r="G15" s="40"/>
      <x:c r="H15" s="40"/>
    </x:row>
    <x:row r="16" ht="52" customHeight="1">
      <x:c r="A16" s="33" t="str">
        <x:v>Gap</x:v>
      </x:c>
      <x:c r="B16" s="34" t="str">
        <x:v>Why ABS Census is insufficient</x:v>
      </x:c>
      <x:c r="C16" s="34" t="str">
        <x:v>Recommended later source</x:v>
      </x:c>
      <x:c r="D16" s="35" t="str">
        <x:v>Dashboard handling</x:v>
      </x:c>
      <x:c r="E16" s="40"/>
      <x:c r="F16" s="40"/>
      <x:c r="G16" s="40"/>
      <x:c r="H16" s="40"/>
    </x:row>
    <x:row r="17" ht="42" customHeight="1">
      <x:c r="A17" s="43" t="str">
        <x:v>Crime and safety</x:v>
      </x:c>
      <x:c r="B17" s="43" t="str">
        <x:v>The Census does not measure recorded offences or neighbourhood safety.</x:v>
      </x:c>
      <x:c r="C17" s="43" t="str">
        <x:v>Crime Statistics Agency Victoria</x:v>
      </x:c>
      <x:c r="D17" s="43" t="str">
        <x:v>Keep separate from ABS; do not invent a safety proxy.</x:v>
      </x:c>
      <x:c r="E17" s="40"/>
      <x:c r="F17" s="40"/>
      <x:c r="G17" s="40"/>
      <x:c r="H17" s="40"/>
    </x:row>
    <x:row r="18" ht="42" customHeight="1">
      <x:c r="A18" s="43" t="str">
        <x:v>Amenities</x:v>
      </x:c>
      <x:c r="B18" s="43" t="str">
        <x:v>The Census does not count cafes, parks, supermarkets or service access.</x:v>
      </x:c>
      <x:c r="C18" s="43" t="str">
        <x:v>OpenStreetMap or Victorian open data</x:v>
      </x:c>
      <x:c r="D18" s="43" t="str">
        <x:v>Keep separate from ABS or use forum sentiment only.</x:v>
      </x:c>
      <x:c r="E18" s="40"/>
      <x:c r="F18" s="40"/>
      <x:c r="G18" s="40"/>
      <x:c r="H18" s="40"/>
    </x:row>
    <x:row r="19">
      <x:c r="A19" s="40"/>
      <x:c r="B19" s="40"/>
      <x:c r="C19" s="40"/>
      <x:c r="D19" s="40"/>
      <x:c r="E19" s="40"/>
      <x:c r="F19" s="40"/>
      <x:c r="G19" s="40"/>
      <x:c r="H19" s="40"/>
    </x:row>
    <x:row r="20">
      <x:c r="A20" s="44" t="str">
        <x:v>Important limitations</x:v>
      </x:c>
      <x:c r="B20" s="44" t="str">
        <x:v>Important limitations</x:v>
      </x:c>
      <x:c r="C20" s="44" t="str">
        <x:v>Important limitations</x:v>
      </x:c>
      <x:c r="D20" s="44" t="str">
        <x:v>Important limitations</x:v>
      </x:c>
      <x:c r="E20" s="44" t="str">
        <x:v>Important limitations</x:v>
      </x:c>
      <x:c r="F20" s="44" t="str">
        <x:v>Important limitations</x:v>
      </x:c>
      <x:c r="G20" s="44" t="str">
        <x:v>Important limitations</x:v>
      </x:c>
      <x:c r="H20" s="44" t="str">
        <x:v>Important limitations</x:v>
      </x:c>
    </x:row>
    <x:row r="21">
      <x:c r="A21" s="45" t="str">
        <x:v>• SAL boundaries approximate officially recognised suburb/locality boundaries and are built from Mesh Blocks.</x:v>
      </x:c>
      <x:c r="B21" s="45"/>
      <x:c r="C21" s="45"/>
      <x:c r="D21" s="45"/>
      <x:c r="E21" s="45"/>
      <x:c r="F21" s="45"/>
      <x:c r="G21" s="45"/>
      <x:c r="H21" s="45"/>
    </x:row>
    <x:row r="22">
      <x:c r="A22" s="45" t="str">
        <x:v>• Census values are a snapshot of 10 August 2021, not current 2026 conditions.</x:v>
      </x:c>
      <x:c r="B22" s="45"/>
      <x:c r="C22" s="45"/>
      <x:c r="D22" s="45"/>
      <x:c r="E22" s="45"/>
      <x:c r="F22" s="45"/>
      <x:c r="G22" s="45"/>
      <x:c r="H22" s="45"/>
    </x:row>
    <x:row r="23">
      <x:c r="A23" s="45" t="str">
        <x:v>• ABS applies small random adjustments to cell counts for confidentiality, so components may not sum perfectly.</x:v>
      </x:c>
      <x:c r="B23" s="45"/>
      <x:c r="C23" s="45"/>
      <x:c r="D23" s="45"/>
      <x:c r="E23" s="45"/>
      <x:c r="F23" s="45"/>
      <x:c r="G23" s="45"/>
      <x:c r="H23" s="45"/>
    </x:row>
    <x:row r="24">
      <x:c r="A24" s="45" t="str">
        <x:v>• Median rent applies to rented dwellings; median mortgage repayments apply to dwellings being purchased.</x:v>
      </x:c>
      <x:c r="B24" s="45"/>
      <x:c r="C24" s="45"/>
      <x:c r="D24" s="45"/>
      <x:c r="E24" s="45"/>
      <x:c r="F24" s="45"/>
      <x:c r="G24" s="45"/>
      <x:c r="H24" s="45"/>
    </x:row>
    <x:row r="25">
      <x:c r="A25" s="45" t="str">
        <x:v>• Journey-to-work variables were intentionally excluded because COVID-19 restrictions strongly affected Victoria on Census day.</x:v>
      </x:c>
      <x:c r="B25" s="45"/>
      <x:c r="C25" s="45"/>
      <x:c r="D25" s="45"/>
      <x:c r="E25" s="45"/>
      <x:c r="F25" s="45"/>
      <x:c r="G25" s="45"/>
      <x:c r="H25" s="45"/>
    </x:row>
    <x:row r="26">
      <x:c r="A26" s="40"/>
      <x:c r="B26" s="40"/>
      <x:c r="C26" s="40"/>
      <x:c r="D26" s="40"/>
      <x:c r="E26" s="40"/>
      <x:c r="F26" s="40"/>
      <x:c r="G26" s="40"/>
      <x:c r="H26" s="40"/>
    </x:row>
    <x:row r="27" ht="52" customHeight="1">
      <x:c r="A27" s="33" t="str">
        <x:v>Source</x:v>
      </x:c>
      <x:c r="B27" s="35" t="str">
        <x:v>URL</x:v>
      </x:c>
      <x:c r="C27" s="40"/>
      <x:c r="D27" s="40"/>
      <x:c r="E27" s="40"/>
      <x:c r="F27" s="40"/>
      <x:c r="G27" s="40"/>
      <x:c r="H27" s="40"/>
    </x:row>
    <x:row r="28" ht="42" customHeight="1">
      <x:c r="A28" s="43" t="str">
        <x:v>ABS 2021 General Community Profile DataPacks</x:v>
      </x:c>
      <x:c r="B28" s="43" t="str">
        <x:v>https://www.abs.gov.au/census/find-census-data/datapacks</x:v>
      </x:c>
      <x:c r="C28" s="40"/>
      <x:c r="D28" s="40"/>
      <x:c r="E28" s="40"/>
      <x:c r="F28" s="40"/>
      <x:c r="G28" s="40"/>
      <x:c r="H28" s="40"/>
    </x:row>
    <x:row r="29" ht="42" customHeight="1">
      <x:c r="A29" s="43" t="str">
        <x:v>Direct Victoria SAL DataPack</x:v>
      </x:c>
      <x:c r="B29" s="43" t="str">
        <x:v>https://www.abs.gov.au/census/find-census-data/datapacks/download/2021_GCP_SAL_for_VIC_short-header.zip</x:v>
      </x:c>
      <x:c r="C29" s="40"/>
      <x:c r="D29" s="40"/>
      <x:c r="E29" s="40"/>
      <x:c r="F29" s="40"/>
      <x:c r="G29" s="40"/>
      <x:c r="H29" s="40"/>
    </x:row>
    <x:row r="30" ht="42" customHeight="1">
      <x:c r="A30" s="43" t="str">
        <x:v>ABS Census geography glossary</x:v>
      </x:c>
      <x:c r="B30" s="43" t="str">
        <x:v>https://www.abs.gov.au/census/guide-census-data/geography/census-geography-glossary</x:v>
      </x:c>
      <x:c r="C30" s="40"/>
      <x:c r="D30" s="40"/>
      <x:c r="E30" s="40"/>
      <x:c r="F30" s="40"/>
      <x:c r="G30" s="40"/>
      <x:c r="H30" s="40"/>
    </x:row>
    <x:row r="31" ht="42" customHeight="1">
      <x:c r="A31" s="43" t="str">
        <x:v>ABS note on 2021 journey-to-work conditions</x:v>
      </x:c>
      <x:c r="B31" s="43" t="str">
        <x:v>https://www.abs.gov.au/articles/australias-journey-work</x:v>
      </x:c>
      <x:c r="C31" s="40"/>
      <x:c r="D31" s="40"/>
      <x:c r="E31" s="40"/>
      <x:c r="F31" s="40"/>
      <x:c r="G31" s="40"/>
      <x:c r="H31" s="40"/>
    </x:row>
    <x:row r="32">
      <x:c r="A32" s="40"/>
      <x:c r="B32" s="40"/>
      <x:c r="C32" s="40"/>
      <x:c r="D32" s="40"/>
      <x:c r="E32" s="40"/>
      <x:c r="F32" s="40"/>
      <x:c r="G32" s="40"/>
      <x:c r="H32" s="40"/>
    </x:row>
    <x:row r="33">
      <x:c r="A33" s="46" t="str">
        <x:v>Suggested dashboard rule: display ABS values as factual context, never blend them into the forum sentiment score. Keep the provenance and Census year visible to users.</x:v>
      </x:c>
      <x:c r="B33" s="46" t="str">
        <x:v>Suggested dashboard rule: display ABS values as factual context, never blend them into the forum sentiment score. Keep the provenance and Census year visible to users.</x:v>
      </x:c>
      <x:c r="C33" s="46" t="str">
        <x:v>Suggested dashboard rule: display ABS values as factual context, never blend them into the forum sentiment score. Keep the provenance and Census year visible to users.</x:v>
      </x:c>
      <x:c r="D33" s="46" t="str">
        <x:v>Suggested dashboard rule: display ABS values as factual context, never blend them into the forum sentiment score. Keep the provenance and Census year visible to users.</x:v>
      </x:c>
      <x:c r="E33" s="46" t="str">
        <x:v>Suggested dashboard rule: display ABS values as factual context, never blend them into the forum sentiment score. Keep the provenance and Census year visible to users.</x:v>
      </x:c>
      <x:c r="F33" s="46" t="str">
        <x:v>Suggested dashboard rule: display ABS values as factual context, never blend them into the forum sentiment score. Keep the provenance and Census year visible to users.</x:v>
      </x:c>
      <x:c r="G33" s="46" t="str">
        <x:v>Suggested dashboard rule: display ABS values as factual context, never blend them into the forum sentiment score. Keep the provenance and Census year visible to users.</x:v>
      </x:c>
      <x:c r="H33" s="46" t="str">
        <x:v>Suggested dashboard rule: display ABS values as factual context, never blend them into the forum sentiment score. Keep the provenance and Census year visible to users.</x:v>
      </x:c>
    </x:row>
    <x:row r="34">
      <x:c r="A34" s="46" t="str">
        <x:v>Suggested dashboard rule: display ABS values as factual context, never blend them into the forum sentiment score. Keep the provenance and Census year visible to users.</x:v>
      </x:c>
      <x:c r="B34" s="46" t="str">
        <x:v>Suggested dashboard rule: display ABS values as factual context, never blend them into the forum sentiment score. Keep the provenance and Census year visible to users.</x:v>
      </x:c>
      <x:c r="C34" s="46" t="str">
        <x:v>Suggested dashboard rule: display ABS values as factual context, never blend them into the forum sentiment score. Keep the provenance and Census year visible to users.</x:v>
      </x:c>
      <x:c r="D34" s="46" t="str">
        <x:v>Suggested dashboard rule: display ABS values as factual context, never blend them into the forum sentiment score. Keep the provenance and Census year visible to users.</x:v>
      </x:c>
      <x:c r="E34" s="46" t="str">
        <x:v>Suggested dashboard rule: display ABS values as factual context, never blend them into the forum sentiment score. Keep the provenance and Census year visible to users.</x:v>
      </x:c>
      <x:c r="F34" s="46" t="str">
        <x:v>Suggested dashboard rule: display ABS values as factual context, never blend them into the forum sentiment score. Keep the provenance and Census year visible to users.</x:v>
      </x:c>
      <x:c r="G34" s="46" t="str">
        <x:v>Suggested dashboard rule: display ABS values as factual context, never blend them into the forum sentiment score. Keep the provenance and Census year visible to users.</x:v>
      </x:c>
      <x:c r="H34" s="46" t="str">
        <x:v>Suggested dashboard rule: display ABS values as factual context, never blend them into the forum sentiment score. Keep the provenance and Census year visible to users.</x:v>
      </x:c>
    </x:row>
  </x:sheetData>
  <x:mergeCells>
    <x:mergeCell ref="A1:H2"/>
    <x:mergeCell ref="A4:H4"/>
    <x:mergeCell ref="A5:H8"/>
    <x:mergeCell ref="A20:H20"/>
    <x:mergeCell ref="A21:H21"/>
    <x:mergeCell ref="A22:H22"/>
    <x:mergeCell ref="A23:H23"/>
    <x:mergeCell ref="A24:H24"/>
    <x:mergeCell ref="A25:H25"/>
    <x:mergeCell ref="A33:H34"/>
  </x:mergeCells>
  <x:pageMargins left="0.7" right="0.7" top="0.75" bottom="0.75" header="0.3" footer="0.3"/>
  <x:tableParts count="3">
    <x:tablePart xmlns:r="http://schemas.openxmlformats.org/officeDocument/2006/relationships" r:id="R86bd5f8b397c4055"/>
    <x:tablePart xmlns:r="http://schemas.openxmlformats.org/officeDocument/2006/relationships" r:id="Rdc5e0dcba9334eb3"/>
    <x:tablePart xmlns:r="http://schemas.openxmlformats.org/officeDocument/2006/relationships" r:id="Rcb8da3860c39409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48" hidden="0" customWidth="1"/>
  </x:cols>
  <x:sheetData>
    <x:row r="1" ht="52" customHeight="1">
      <x:c r="A1" s="53" t="str">
        <x:v>sal_code</x:v>
      </x:c>
      <x:c r="B1" s="34" t="str">
        <x:v>suburb</x:v>
      </x:c>
      <x:c r="C1" s="34" t="str">
        <x:v>population</x:v>
      </x:c>
      <x:c r="D1" s="34" t="str">
        <x:v>population_density_per_sq_km</x:v>
      </x:c>
      <x:c r="E1" s="34" t="str">
        <x:v>median_age_years</x:v>
      </x:c>
      <x:c r="F1" s="34" t="str">
        <x:v>age_25_44_share</x:v>
      </x:c>
      <x:c r="G1" s="34" t="str">
        <x:v>families_with_children_under_15_share</x:v>
      </x:c>
      <x:c r="H1" s="34" t="str">
        <x:v>median_household_income_weekly_aud</x:v>
      </x:c>
      <x:c r="I1" s="34" t="str">
        <x:v>median_rent_weekly_aud</x:v>
      </x:c>
      <x:c r="J1" s="34" t="str">
        <x:v>median_mortgage_monthly_aud</x:v>
      </x:c>
      <x:c r="K1" s="34" t="str">
        <x:v>renter_share</x:v>
      </x:c>
      <x:c r="L1" s="34" t="str">
        <x:v>apartment_share</x:v>
      </x:c>
      <x:c r="M1" s="34" t="str">
        <x:v>labour_force_participation_rate</x:v>
      </x:c>
      <x:c r="N1" s="34" t="str">
        <x:v>unemployment_rate</x:v>
      </x:c>
      <x:c r="O1" s="34" t="str">
        <x:v>bachelor_or_higher_share_age_15_plus</x:v>
      </x:c>
      <x:c r="P1" s="34" t="str">
        <x:v>census_year</x:v>
      </x:c>
      <x:c r="Q1" s="35" t="str">
        <x:v>source_url</x:v>
      </x:c>
    </x:row>
    <x:row r="2">
      <x:c r="A2" t="str">
        <x:f>'Suburb Metrics'!A2</x:f>
        <x:v>SAL20616</x:v>
      </x:c>
      <x:c r="B2" t="str">
        <x:f>'Suburb Metrics'!B2</x:f>
        <x:v>Collingwood (Vic.)</x:v>
      </x:c>
      <x:c r="C2" s="49" t="n">
        <x:f>'Suburb Metrics'!C2</x:f>
        <x:v>9179</x:v>
      </x:c>
      <x:c r="D2" s="49" t="n">
        <x:f>'Suburb Metrics'!E2</x:f>
        <x:v>7245.244297103166</x:v>
      </x:c>
      <x:c r="E2" s="50" t="n">
        <x:f>'Suburb Metrics'!F2</x:f>
        <x:v>33</x:v>
      </x:c>
      <x:c r="F2" s="54" t="n">
        <x:f>'Suburb Metrics'!G2</x:f>
        <x:v>0.5556160801830264</x:v>
      </x:c>
      <x:c r="G2" s="54" t="n">
        <x:f>'Suburb Metrics'!I2</x:f>
        <x:v>0.23376007586533903</x:v>
      </x:c>
      <x:c r="H2" s="51" t="n">
        <x:f>'Suburb Metrics'!J2</x:f>
        <x:v>2130</x:v>
      </x:c>
      <x:c r="I2" s="51" t="n">
        <x:f>'Suburb Metrics'!K2</x:f>
        <x:v>425</x:v>
      </x:c>
      <x:c r="J2" s="51" t="n">
        <x:f>'Suburb Metrics'!L2</x:f>
        <x:v>2167</x:v>
      </x:c>
      <x:c r="K2" s="54" t="n">
        <x:f>'Suburb Metrics'!M2</x:f>
        <x:v>0.643350412118512</x:v>
      </x:c>
      <x:c r="L2" s="54" t="n">
        <x:f>'Suburb Metrics'!R2</x:f>
        <x:v>0.6821118289151259</x:v>
      </x:c>
      <x:c r="M2" s="54" t="n">
        <x:f>'Suburb Metrics'!U2</x:f>
        <x:v>0.748</x:v>
      </x:c>
      <x:c r="N2" s="54" t="n">
        <x:f>'Suburb Metrics'!V2</x:f>
        <x:v>0.049</x:v>
      </x:c>
      <x:c r="O2" s="54" t="n">
        <x:f>'Suburb Metrics'!W2</x:f>
        <x:v>0.5401979719942057</x:v>
      </x:c>
      <x:c r="P2" s="50" t="n">
        <x:f>2021</x:f>
        <x:v>2021</x:v>
      </x:c>
      <x:c r="Q2" t="str">
        <x:f>'Suburb Metrics'!X2</x:f>
        <x:v>https://www.abs.gov.au/census/find-census-data/community-profiles/2021/SAL20616</x:v>
      </x:c>
    </x:row>
    <x:row r="3">
      <x:c r="A3" t="str">
        <x:f>'Suburb Metrics'!A3</x:f>
        <x:v>SAL22000</x:v>
      </x:c>
      <x:c r="B3" t="str">
        <x:f>'Suburb Metrics'!B3</x:f>
        <x:v>Oakleigh</x:v>
      </x:c>
      <x:c r="C3" s="49" t="n">
        <x:f>'Suburb Metrics'!C3</x:f>
        <x:v>8442</x:v>
      </x:c>
      <x:c r="D3" s="49" t="n">
        <x:f>'Suburb Metrics'!E3</x:f>
        <x:v>2428.2344819651385</x:v>
      </x:c>
      <x:c r="E3" s="50" t="n">
        <x:f>'Suburb Metrics'!F3</x:f>
        <x:v>38</x:v>
      </x:c>
      <x:c r="F3" s="54" t="n">
        <x:f>'Suburb Metrics'!G3</x:f>
        <x:v>0.3075100687040986</x:v>
      </x:c>
      <x:c r="G3" s="54" t="n">
        <x:f>'Suburb Metrics'!I3</x:f>
        <x:v>0.3303769401330377</x:v>
      </x:c>
      <x:c r="H3" s="51" t="n">
        <x:f>'Suburb Metrics'!J3</x:f>
        <x:v>1926</x:v>
      </x:c>
      <x:c r="I3" s="51" t="n">
        <x:f>'Suburb Metrics'!K3</x:f>
        <x:v>410</x:v>
      </x:c>
      <x:c r="J3" s="51" t="n">
        <x:f>'Suburb Metrics'!L3</x:f>
        <x:v>2100</x:v>
      </x:c>
      <x:c r="K3" s="54" t="n">
        <x:f>'Suburb Metrics'!M3</x:f>
        <x:v>0.3451979134703897</x:v>
      </x:c>
      <x:c r="L3" s="54" t="n">
        <x:f>'Suburb Metrics'!R3</x:f>
        <x:v>0.25682724762196996</x:v>
      </x:c>
      <x:c r="M3" s="54" t="n">
        <x:f>'Suburb Metrics'!U3</x:f>
        <x:v>0.6609999999999999</x:v>
      </x:c>
      <x:c r="N3" s="54" t="n">
        <x:f>'Suburb Metrics'!V3</x:f>
        <x:v>0.053</x:v>
      </x:c>
      <x:c r="O3" s="54" t="n">
        <x:f>'Suburb Metrics'!W3</x:f>
        <x:v>0.38415649278579356</x:v>
      </x:c>
      <x:c r="P3" s="50" t="n">
        <x:f>2021</x:f>
        <x:v>2021</x:v>
      </x:c>
      <x:c r="Q3" t="str">
        <x:f>'Suburb Metrics'!X3</x:f>
        <x:v>https://www.abs.gov.au/census/find-census-data/community-profiles/2021/SAL22000</x:v>
      </x:c>
    </x:row>
    <x:row r="4">
      <x:c r="A4" t="str">
        <x:f>'Suburb Metrics'!A4</x:f>
        <x:v>SAL21985</x:v>
      </x:c>
      <x:c r="B4" t="str">
        <x:f>'Suburb Metrics'!B4</x:f>
        <x:v>Nunawading</x:v>
      </x:c>
      <x:c r="C4" s="49" t="n">
        <x:f>'Suburb Metrics'!C4</x:f>
        <x:v>12413</x:v>
      </x:c>
      <x:c r="D4" s="49" t="n">
        <x:f>'Suburb Metrics'!E4</x:f>
        <x:v>2444.225657182239</x:v>
      </x:c>
      <x:c r="E4" s="50" t="n">
        <x:f>'Suburb Metrics'!F4</x:f>
        <x:v>39</x:v>
      </x:c>
      <x:c r="F4" s="54" t="n">
        <x:f>'Suburb Metrics'!G4</x:f>
        <x:v>0.30347216627728996</x:v>
      </x:c>
      <x:c r="G4" s="54" t="n">
        <x:f>'Suburb Metrics'!I4</x:f>
        <x:v>0.39724770642201834</x:v>
      </x:c>
      <x:c r="H4" s="51" t="n">
        <x:f>'Suburb Metrics'!J4</x:f>
        <x:v>1938</x:v>
      </x:c>
      <x:c r="I4" s="51" t="n">
        <x:f>'Suburb Metrics'!K4</x:f>
        <x:v>391</x:v>
      </x:c>
      <x:c r="J4" s="51" t="n">
        <x:f>'Suburb Metrics'!L4</x:f>
        <x:v>2167</x:v>
      </x:c>
      <x:c r="K4" s="54" t="n">
        <x:f>'Suburb Metrics'!M4</x:f>
        <x:v>0.2865254422362961</x:v>
      </x:c>
      <x:c r="L4" s="54" t="n">
        <x:f>'Suburb Metrics'!R4</x:f>
        <x:v>0.03188469098056344</x:v>
      </x:c>
      <x:c r="M4" s="54" t="n">
        <x:f>'Suburb Metrics'!U4</x:f>
        <x:v>0.632</x:v>
      </x:c>
      <x:c r="N4" s="54" t="n">
        <x:f>'Suburb Metrics'!V4</x:f>
        <x:v>0.045</x:v>
      </x:c>
      <x:c r="O4" s="54" t="n">
        <x:f>'Suburb Metrics'!W4</x:f>
        <x:v>0.39923768569194684</x:v>
      </x:c>
      <x:c r="P4" s="50" t="n">
        <x:f>2021</x:f>
        <x:v>2021</x:v>
      </x:c>
      <x:c r="Q4" t="str">
        <x:f>'Suburb Metrics'!X4</x:f>
        <x:v>https://www.abs.gov.au/census/find-census-data/community-profiles/2021/SAL21985</x:v>
      </x:c>
    </x:row>
    <x:row r="5">
      <x:c r="A5" t="str">
        <x:f>'Suburb Metrics'!A5</x:f>
        <x:v>SAL20825</x:v>
      </x:c>
      <x:c r="B5" t="str">
        <x:f>'Suburb Metrics'!B5</x:f>
        <x:v>Eaglemont</x:v>
      </x:c>
      <x:c r="C5" s="49" t="n">
        <x:f>'Suburb Metrics'!C5</x:f>
        <x:v>3960</x:v>
      </x:c>
      <x:c r="D5" s="49" t="n">
        <x:f>'Suburb Metrics'!E5</x:f>
        <x:v>1793.9657515629249</x:v>
      </x:c>
      <x:c r="E5" s="50" t="n">
        <x:f>'Suburb Metrics'!F5</x:f>
        <x:v>46</x:v>
      </x:c>
      <x:c r="F5" s="54" t="n">
        <x:f>'Suburb Metrics'!G5</x:f>
        <x:v>0.19873737373737374</x:v>
      </x:c>
      <x:c r="G5" s="54" t="n">
        <x:f>'Suburb Metrics'!I5</x:f>
        <x:v>0.30667838312829526</x:v>
      </x:c>
      <x:c r="H5" s="51" t="n">
        <x:f>'Suburb Metrics'!J5</x:f>
        <x:v>2866</x:v>
      </x:c>
      <x:c r="I5" s="51" t="n">
        <x:f>'Suburb Metrics'!K5</x:f>
        <x:v>453</x:v>
      </x:c>
      <x:c r="J5" s="51" t="n">
        <x:f>'Suburb Metrics'!L5</x:f>
        <x:v>3073</x:v>
      </x:c>
      <x:c r="K5" s="54" t="n">
        <x:f>'Suburb Metrics'!M5</x:f>
        <x:v>0.19859154929577466</x:v>
      </x:c>
      <x:c r="L5" s="54" t="n">
        <x:f>'Suburb Metrics'!R5</x:f>
        <x:v>0.15704225352112677</x:v>
      </x:c>
      <x:c r="M5" s="54" t="n">
        <x:f>'Suburb Metrics'!U5</x:f>
        <x:v>0.649</x:v>
      </x:c>
      <x:c r="N5" s="54" t="n">
        <x:f>'Suburb Metrics'!V5</x:f>
        <x:v>0.037000000000000005</x:v>
      </x:c>
      <x:c r="O5" s="54" t="n">
        <x:f>'Suburb Metrics'!W5</x:f>
        <x:v>0.5061285500747384</x:v>
      </x:c>
      <x:c r="P5" s="50" t="n">
        <x:f>2021</x:f>
        <x:v>2021</x:v>
      </x:c>
      <x:c r="Q5" t="str">
        <x:f>'Suburb Metrics'!X5</x:f>
        <x:v>https://www.abs.gov.au/census/find-census-data/community-profiles/2021/SAL20825</x:v>
      </x:c>
    </x:row>
    <x:row r="6">
      <x:c r="A6" t="str">
        <x:f>'Suburb Metrics'!A6</x:f>
        <x:v>SAL22170</x:v>
      </x:c>
      <x:c r="B6" t="str">
        <x:f>'Suburb Metrics'!B6</x:f>
        <x:v>Richmond (Vic.)</x:v>
      </x:c>
      <x:c r="C6" s="49" t="n">
        <x:f>'Suburb Metrics'!C6</x:f>
        <x:v>28587</x:v>
      </x:c>
      <x:c r="D6" s="49" t="n">
        <x:f>'Suburb Metrics'!E6</x:f>
        <x:v>6452.027896269213</x:v>
      </x:c>
      <x:c r="E6" s="50" t="n">
        <x:f>'Suburb Metrics'!F6</x:f>
        <x:v>34</x:v>
      </x:c>
      <x:c r="F6" s="54" t="n">
        <x:f>'Suburb Metrics'!G6</x:f>
        <x:v>0.47885402455661663</x:v>
      </x:c>
      <x:c r="G6" s="54" t="n">
        <x:f>'Suburb Metrics'!I6</x:f>
        <x:v>0.2545782047433203</x:v>
      </x:c>
      <x:c r="H6" s="51" t="n">
        <x:f>'Suburb Metrics'!J6</x:f>
        <x:v>2245</x:v>
      </x:c>
      <x:c r="I6" s="51" t="n">
        <x:f>'Suburb Metrics'!K6</x:f>
        <x:v>441</x:v>
      </x:c>
      <x:c r="J6" s="51" t="n">
        <x:f>'Suburb Metrics'!L6</x:f>
        <x:v>2292</x:v>
      </x:c>
      <x:c r="K6" s="54" t="n">
        <x:f>'Suburb Metrics'!M6</x:f>
        <x:v>0.5473272686264191</x:v>
      </x:c>
      <x:c r="L6" s="54" t="n">
        <x:f>'Suburb Metrics'!R6</x:f>
        <x:v>0.530336064957522</x:v>
      </x:c>
      <x:c r="M6" s="54" t="n">
        <x:f>'Suburb Metrics'!U6</x:f>
        <x:v>0.748</x:v>
      </x:c>
      <x:c r="N6" s="54" t="n">
        <x:f>'Suburb Metrics'!V6</x:f>
        <x:v>0.035</x:v>
      </x:c>
      <x:c r="O6" s="54" t="n">
        <x:f>'Suburb Metrics'!W6</x:f>
        <x:v>0.526303565207293</x:v>
      </x:c>
      <x:c r="P6" s="50" t="n">
        <x:f>2021</x:f>
        <x:v>2021</x:v>
      </x:c>
      <x:c r="Q6" t="str">
        <x:f>'Suburb Metrics'!X6</x:f>
        <x:v>https://www.abs.gov.au/census/find-census-data/community-profiles/2021/SAL22170</x:v>
      </x:c>
    </x:row>
    <x:row r="7">
      <x:c r="A7" t="str">
        <x:f>'Suburb Metrics'!A7</x:f>
        <x:v>SAL20495</x:v>
      </x:c>
      <x:c r="B7" t="str">
        <x:f>'Suburb Metrics'!B7</x:f>
        <x:v>Carlton (Vic.)</x:v>
      </x:c>
      <x:c r="C7" s="49" t="n">
        <x:f>'Suburb Metrics'!C7</x:f>
        <x:v>16055</x:v>
      </x:c>
      <x:c r="D7" s="49" t="n">
        <x:f>'Suburb Metrics'!E7</x:f>
        <x:v>9056.29512635379</x:v>
      </x:c>
      <x:c r="E7" s="50" t="n">
        <x:f>'Suburb Metrics'!F7</x:f>
        <x:v>27</x:v>
      </x:c>
      <x:c r="F7" s="54" t="n">
        <x:f>'Suburb Metrics'!G7</x:f>
        <x:v>0.44590470258486453</x:v>
      </x:c>
      <x:c r="G7" s="54" t="n">
        <x:f>'Suburb Metrics'!I7</x:f>
        <x:v>0.2029214370311883</x:v>
      </x:c>
      <x:c r="H7" s="51" t="n">
        <x:f>'Suburb Metrics'!J7</x:f>
        <x:v>1292</x:v>
      </x:c>
      <x:c r="I7" s="51" t="n">
        <x:f>'Suburb Metrics'!K7</x:f>
        <x:v>365</x:v>
      </x:c>
      <x:c r="J7" s="51" t="n">
        <x:f>'Suburb Metrics'!L7</x:f>
        <x:v>1898</x:v>
      </x:c>
      <x:c r="K7" s="54" t="n">
        <x:f>'Suburb Metrics'!M7</x:f>
        <x:v>0.7227036395147314</x:v>
      </x:c>
      <x:c r="L7" s="54" t="n">
        <x:f>'Suburb Metrics'!R7</x:f>
        <x:v>0.8070479491623339</x:v>
      </x:c>
      <x:c r="M7" s="54" t="n">
        <x:f>'Suburb Metrics'!U7</x:f>
        <x:v>0.632</x:v>
      </x:c>
      <x:c r="N7" s="54" t="n">
        <x:f>'Suburb Metrics'!V7</x:f>
        <x:v>0.114</x:v>
      </x:c>
      <x:c r="O7" s="54" t="n">
        <x:f>'Suburb Metrics'!W7</x:f>
        <x:v>0.5271853607161664</x:v>
      </x:c>
      <x:c r="P7" s="50" t="n">
        <x:f>2021</x:f>
        <x:v>2021</x:v>
      </x:c>
      <x:c r="Q7" t="str">
        <x:f>'Suburb Metrics'!X7</x:f>
        <x:v>https://www.abs.gov.au/census/find-census-data/community-profiles/2021/SAL20495</x:v>
      </x:c>
    </x:row>
    <x:row r="8">
      <x:c r="A8" t="str">
        <x:f>'Suburb Metrics'!A8</x:f>
        <x:v>SAL22627</x:v>
      </x:c>
      <x:c r="B8" t="str">
        <x:f>'Suburb Metrics'!B8</x:f>
        <x:v>Vermont</x:v>
      </x:c>
      <x:c r="C8" s="49" t="n">
        <x:f>'Suburb Metrics'!C8</x:f>
        <x:v>10993</x:v>
      </x:c>
      <x:c r="D8" s="49" t="n">
        <x:f>'Suburb Metrics'!E8</x:f>
        <x:v>2384.7021562757604</x:v>
      </x:c>
      <x:c r="E8" s="50" t="n">
        <x:f>'Suburb Metrics'!F8</x:f>
        <x:v>40</x:v>
      </x:c>
      <x:c r="F8" s="54" t="n">
        <x:f>'Suburb Metrics'!G8</x:f>
        <x:v>0.2446102064950423</x:v>
      </x:c>
      <x:c r="G8" s="54" t="n">
        <x:f>'Suburb Metrics'!I8</x:f>
        <x:v>0.42829331602855286</x:v>
      </x:c>
      <x:c r="H8" s="51" t="n">
        <x:f>'Suburb Metrics'!J8</x:f>
        <x:v>2042</x:v>
      </x:c>
      <x:c r="I8" s="51" t="n">
        <x:f>'Suburb Metrics'!K8</x:f>
        <x:v>426</x:v>
      </x:c>
      <x:c r="J8" s="51" t="n">
        <x:f>'Suburb Metrics'!L8</x:f>
        <x:v>2383</x:v>
      </x:c>
      <x:c r="K8" s="54" t="n">
        <x:f>'Suburb Metrics'!M8</x:f>
        <x:v>0.18578947368421053</x:v>
      </x:c>
      <x:c r="L8" s="54" t="n">
        <x:f>'Suburb Metrics'!R8</x:f>
        <x:v>0.004210526315789474</x:v>
      </x:c>
      <x:c r="M8" s="54" t="n">
        <x:f>'Suburb Metrics'!U8</x:f>
        <x:v>0.631</x:v>
      </x:c>
      <x:c r="N8" s="54" t="n">
        <x:f>'Suburb Metrics'!V8</x:f>
        <x:v>0.045</x:v>
      </x:c>
      <x:c r="O8" s="54" t="n">
        <x:f>'Suburb Metrics'!W8</x:f>
        <x:v>0.3931721846717837</x:v>
      </x:c>
      <x:c r="P8" s="50" t="n">
        <x:f>2021</x:f>
        <x:v>2021</x:v>
      </x:c>
      <x:c r="Q8" t="str">
        <x:f>'Suburb Metrics'!X8</x:f>
        <x:v>https://www.abs.gov.au/census/find-census-data/community-profiles/2021/SAL22627</x:v>
      </x:c>
    </x:row>
    <x:row r="9">
      <x:c r="A9" t="str">
        <x:f>'Suburb Metrics'!A9</x:f>
        <x:v>SAL20707</x:v>
      </x:c>
      <x:c r="B9" t="str">
        <x:f>'Suburb Metrics'!B9</x:f>
        <x:v>Dandenong</x:v>
      </x:c>
      <x:c r="C9" s="49" t="n">
        <x:f>'Suburb Metrics'!C9</x:f>
        <x:v>30127</x:v>
      </x:c>
      <x:c r="D9" s="49" t="n">
        <x:f>'Suburb Metrics'!E9</x:f>
        <x:v>2647.061407747797</x:v>
      </x:c>
      <x:c r="E9" s="50" t="n">
        <x:f>'Suburb Metrics'!F9</x:f>
        <x:v>33</x:v>
      </x:c>
      <x:c r="F9" s="54" t="n">
        <x:f>'Suburb Metrics'!G9</x:f>
        <x:v>0.36399243203770704</x:v>
      </x:c>
      <x:c r="G9" s="54" t="n">
        <x:f>'Suburb Metrics'!I9</x:f>
        <x:v>0.4359769605671245</x:v>
      </x:c>
      <x:c r="H9" s="51" t="n">
        <x:f>'Suburb Metrics'!J9</x:f>
        <x:v>1267</x:v>
      </x:c>
      <x:c r="I9" s="51" t="n">
        <x:f>'Suburb Metrics'!K9</x:f>
        <x:v>319</x:v>
      </x:c>
      <x:c r="J9" s="51" t="n">
        <x:f>'Suburb Metrics'!L9</x:f>
        <x:v>1517</x:v>
      </x:c>
      <x:c r="K9" s="54" t="n">
        <x:f>'Suburb Metrics'!M9</x:f>
        <x:v>0.5273616630999695</x:v>
      </x:c>
      <x:c r="L9" s="54" t="n">
        <x:f>'Suburb Metrics'!R9</x:f>
        <x:v>0.1927035565066748</x:v>
      </x:c>
      <x:c r="M9" s="54" t="n">
        <x:f>'Suburb Metrics'!U9</x:f>
        <x:v>0.518</x:v>
      </x:c>
      <x:c r="N9" s="54" t="n">
        <x:f>'Suburb Metrics'!V9</x:f>
        <x:v>0.094</x:v>
      </x:c>
      <x:c r="O9" s="54" t="n">
        <x:f>'Suburb Metrics'!W9</x:f>
        <x:v>0.18812691914022517</x:v>
      </x:c>
      <x:c r="P9" s="50" t="n">
        <x:f>2021</x:f>
        <x:v>2021</x:v>
      </x:c>
      <x:c r="Q9" t="str">
        <x:f>'Suburb Metrics'!X9</x:f>
        <x:v>https://www.abs.gov.au/census/find-census-data/community-profiles/2021/SAL20707</x:v>
      </x:c>
    </x:row>
    <x:row r="10">
      <x:c r="A10" t="str">
        <x:f>'Suburb Metrics'!A10</x:f>
        <x:v>SAL22006</x:v>
      </x:c>
      <x:c r="B10" t="str">
        <x:f>'Suburb Metrics'!B10</x:f>
        <x:v>Officer</x:v>
      </x:c>
      <x:c r="C10" s="49" t="n">
        <x:f>'Suburb Metrics'!C10</x:f>
        <x:v>18503</x:v>
      </x:c>
      <x:c r="D10" s="49" t="n">
        <x:f>'Suburb Metrics'!E10</x:f>
        <x:v>659.6340872144426</x:v>
      </x:c>
      <x:c r="E10" s="50" t="n">
        <x:f>'Suburb Metrics'!F10</x:f>
        <x:v>31</x:v>
      </x:c>
      <x:c r="F10" s="54" t="n">
        <x:f>'Suburb Metrics'!G10</x:f>
        <x:v>0.38896395179160137</x:v>
      </x:c>
      <x:c r="G10" s="54" t="n">
        <x:f>'Suburb Metrics'!I10</x:f>
        <x:v>0.5142414260802171</x:v>
      </x:c>
      <x:c r="H10" s="51" t="n">
        <x:f>'Suburb Metrics'!J10</x:f>
        <x:v>2125</x:v>
      </x:c>
      <x:c r="I10" s="51" t="n">
        <x:f>'Suburb Metrics'!K10</x:f>
        <x:v>396</x:v>
      </x:c>
      <x:c r="J10" s="51" t="n">
        <x:f>'Suburb Metrics'!L10</x:f>
        <x:v>2000</x:v>
      </x:c>
      <x:c r="K10" s="54" t="n">
        <x:f>'Suburb Metrics'!M10</x:f>
        <x:v>0.2802734375</x:v>
      </x:c>
      <x:c r="L10" s="54" t="n">
        <x:f>'Suburb Metrics'!R10</x:f>
        <x:v>0.0013020833333333333</x:v>
      </x:c>
      <x:c r="M10" s="54" t="n">
        <x:f>'Suburb Metrics'!U10</x:f>
        <x:v>0.748</x:v>
      </x:c>
      <x:c r="N10" s="54" t="n">
        <x:f>'Suburb Metrics'!V10</x:f>
        <x:v>0.044000000000000004</x:v>
      </x:c>
      <x:c r="O10" s="54" t="n">
        <x:f>'Suburb Metrics'!W10</x:f>
        <x:v>0.28139870223503965</x:v>
      </x:c>
      <x:c r="P10" s="50" t="n">
        <x:f>2021</x:f>
        <x:v>2021</x:v>
      </x:c>
      <x:c r="Q10" t="str">
        <x:f>'Suburb Metrics'!X10</x:f>
        <x:v>https://www.abs.gov.au/census/find-census-data/community-profiles/2021/SAL22006</x:v>
      </x:c>
    </x:row>
    <x:row r="11">
      <x:c r="A11" t="str">
        <x:f>'Suburb Metrics'!A11</x:f>
        <x:v>SAL20569</x:v>
      </x:c>
      <x:c r="B11" t="str">
        <x:f>'Suburb Metrics'!B11</x:f>
        <x:v>Clayton</x:v>
      </x:c>
      <x:c r="C11" s="49" t="n">
        <x:f>'Suburb Metrics'!C11</x:f>
        <x:v>18988</x:v>
      </x:c>
      <x:c r="D11" s="49" t="n">
        <x:f>'Suburb Metrics'!E11</x:f>
        <x:v>2427.822529088352</x:v>
      </x:c>
      <x:c r="E11" s="50" t="n">
        <x:f>'Suburb Metrics'!F11</x:f>
        <x:v>28</x:v>
      </x:c>
      <x:c r="F11" s="54" t="n">
        <x:f>'Suburb Metrics'!G11</x:f>
        <x:v>0.4159995786812724</x:v>
      </x:c>
      <x:c r="G11" s="54" t="n">
        <x:f>'Suburb Metrics'!I11</x:f>
        <x:v>0.2958702064896755</x:v>
      </x:c>
      <x:c r="H11" s="51" t="n">
        <x:f>'Suburb Metrics'!J11</x:f>
        <x:v>1494</x:v>
      </x:c>
      <x:c r="I11" s="51" t="n">
        <x:f>'Suburb Metrics'!K11</x:f>
        <x:v>400</x:v>
      </x:c>
      <x:c r="J11" s="51" t="n">
        <x:f>'Suburb Metrics'!L11</x:f>
        <x:v>2000</x:v>
      </x:c>
      <x:c r="K11" s="54" t="n">
        <x:f>'Suburb Metrics'!M11</x:f>
        <x:v>0.6070845576232452</x:v>
      </x:c>
      <x:c r="L11" s="54" t="n">
        <x:f>'Suburb Metrics'!R11</x:f>
        <x:v>0.21727064968984655</x:v>
      </x:c>
      <x:c r="M11" s="54" t="n">
        <x:f>'Suburb Metrics'!U11</x:f>
        <x:v>0.599</x:v>
      </x:c>
      <x:c r="N11" s="54" t="n">
        <x:f>'Suburb Metrics'!V11</x:f>
        <x:v>0.09699999999999999</x:v>
      </x:c>
      <x:c r="O11" s="54" t="n">
        <x:f>'Suburb Metrics'!W11</x:f>
        <x:v>0.42263305965436065</x:v>
      </x:c>
      <x:c r="P11" s="50" t="n">
        <x:f>2021</x:f>
        <x:v>2021</x:v>
      </x:c>
      <x:c r="Q11" t="str">
        <x:f>'Suburb Metrics'!X11</x:f>
        <x:v>https://www.abs.gov.au/census/find-census-data/community-profiles/2021/SAL20569</x:v>
      </x:c>
    </x:row>
  </x:sheetData>
  <x:pageMargins left="0.7" right="0.7" top="0.75" bottom="0.75" header="0.3" footer="0.3"/>
  <x:tableParts count="1">
    <x:tablePart xmlns:r="http://schemas.openxmlformats.org/officeDocument/2006/relationships" r:id="R121edc8ac8aa43a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48" hidden="0" customWidth="1"/>
  </x:cols>
  <x:sheetData>
    <x:row r="1" ht="52" customHeight="1">
      <x:c r="A1" s="53" t="str">
        <x:v>sal_code</x:v>
      </x:c>
      <x:c r="B1" s="34" t="str">
        <x:v>suburb</x:v>
      </x:c>
      <x:c r="C1" s="34" t="str">
        <x:v>population</x:v>
      </x:c>
      <x:c r="D1" s="34" t="str">
        <x:v>area_sq_km</x:v>
      </x:c>
      <x:c r="E1" s="34" t="str">
        <x:v>population_density_per_sq_km</x:v>
      </x:c>
      <x:c r="F1" s="34" t="str">
        <x:v>median_age_years</x:v>
      </x:c>
      <x:c r="G1" s="34" t="str">
        <x:v>age_25_44_share</x:v>
      </x:c>
      <x:c r="H1" s="34" t="str">
        <x:v>average_household_size</x:v>
      </x:c>
      <x:c r="I1" s="34" t="str">
        <x:v>families_with_children_under_15_share</x:v>
      </x:c>
      <x:c r="J1" s="34" t="str">
        <x:v>median_household_income_weekly_aud</x:v>
      </x:c>
      <x:c r="K1" s="34" t="str">
        <x:v>median_rent_weekly_aud</x:v>
      </x:c>
      <x:c r="L1" s="34" t="str">
        <x:v>median_mortgage_monthly_aud</x:v>
      </x:c>
      <x:c r="M1" s="34" t="str">
        <x:v>renter_share</x:v>
      </x:c>
      <x:c r="N1" s="34" t="str">
        <x:v>owned_with_mortgage_share</x:v>
      </x:c>
      <x:c r="O1" s="34" t="str">
        <x:v>owned_outright_share</x:v>
      </x:c>
      <x:c r="P1" s="34" t="str">
        <x:v>separate_house_share</x:v>
      </x:c>
      <x:c r="Q1" s="34" t="str">
        <x:v>townhouse_terrace_share</x:v>
      </x:c>
      <x:c r="R1" s="34" t="str">
        <x:v>apartment_share</x:v>
      </x:c>
      <x:c r="S1" s="34" t="str">
        <x:v>unoccupied_private_dwelling_share</x:v>
      </x:c>
      <x:c r="T1" s="34" t="str">
        <x:v>zero_vehicle_household_share</x:v>
      </x:c>
      <x:c r="U1" s="34" t="str">
        <x:v>labour_force_participation_rate</x:v>
      </x:c>
      <x:c r="V1" s="34" t="str">
        <x:v>unemployment_rate</x:v>
      </x:c>
      <x:c r="W1" s="34" t="str">
        <x:v>bachelor_or_higher_share_age_15_plus</x:v>
      </x:c>
      <x:c r="X1" s="35" t="str">
        <x:v>source_url</x:v>
      </x:c>
    </x:row>
    <x:row r="2">
      <x:c r="A2" t="str">
        <x:f>'ABS Extract'!A2</x:f>
        <x:v>SAL20616</x:v>
      </x:c>
      <x:c r="B2" t="str">
        <x:f>'ABS Extract'!B2</x:f>
        <x:v>Collingwood (Vic.)</x:v>
      </x:c>
      <x:c r="C2" s="49" t="n">
        <x:f>'ABS Extract'!D2</x:f>
        <x:v>9179</x:v>
      </x:c>
      <x:c r="D2" s="48" t="n">
        <x:f>'ABS Extract'!C2</x:f>
        <x:v>1.2669</x:v>
      </x:c>
      <x:c r="E2" s="49" t="n">
        <x:f>IFERROR('ABS Extract'!D2/'ABS Extract'!C2,"")</x:f>
        <x:v>7245.244297103166</x:v>
      </x:c>
      <x:c r="F2" s="50" t="n">
        <x:f>'ABS Extract'!G2</x:f>
        <x:v>33</x:v>
      </x:c>
      <x:c r="G2" s="54" t="n">
        <x:f>IFERROR(('ABS Extract'!E2+'ABS Extract'!F2)/'ABS Extract'!D2,"")</x:f>
        <x:v>0.5556160801830264</x:v>
      </x:c>
      <x:c r="H2" s="52" t="n">
        <x:f>'ABS Extract'!K2</x:f>
        <x:v>1.9</x:v>
      </x:c>
      <x:c r="I2" s="54" t="n">
        <x:f>IFERROR(('ABS Extract'!M2+'ABS Extract'!N2)/'ABS Extract'!L2,"")</x:f>
        <x:v>0.23376007586533903</x:v>
      </x:c>
      <x:c r="J2" s="51" t="n">
        <x:f>'ABS Extract'!H2</x:f>
        <x:v>2130</x:v>
      </x:c>
      <x:c r="K2" s="51" t="n">
        <x:f>'ABS Extract'!I2</x:f>
        <x:v>425</x:v>
      </x:c>
      <x:c r="L2" s="51" t="n">
        <x:f>'ABS Extract'!J2</x:f>
        <x:v>2167</x:v>
      </x:c>
      <x:c r="M2" s="54" t="n">
        <x:f>IFERROR('ABS Extract'!X2/'ABS Extract'!U2,"")</x:f>
        <x:v>0.643350412118512</x:v>
      </x:c>
      <x:c r="N2" s="54" t="n">
        <x:f>IFERROR('ABS Extract'!W2/'ABS Extract'!U2,"")</x:f>
        <x:v>0.22521719759411896</x:v>
      </x:c>
      <x:c r="O2" s="54" t="n">
        <x:f>IFERROR('ABS Extract'!V2/'ABS Extract'!U2,"")</x:f>
        <x:v>0.10781911338828247</x:v>
      </x:c>
      <x:c r="P2" s="54" t="n">
        <x:f>IFERROR('ABS Extract'!R2/'ABS Extract'!O2,"")</x:f>
        <x:v>0.057696591668523055</x:v>
      </x:c>
      <x:c r="Q2" s="54" t="n">
        <x:f>IFERROR('ABS Extract'!S2/'ABS Extract'!O2,"")</x:f>
        <x:v>0.25640454444196925</x:v>
      </x:c>
      <x:c r="R2" s="54" t="n">
        <x:f>IFERROR('ABS Extract'!T2/'ABS Extract'!O2,"")</x:f>
        <x:v>0.6821118289151259</x:v>
      </x:c>
      <x:c r="S2" s="54" t="n">
        <x:f>IFERROR('ABS Extract'!Q2/'ABS Extract'!P2,"")</x:f>
        <x:v>0.1603509426918051</x:v>
      </x:c>
      <x:c r="T2" s="54" t="n">
        <x:f>IFERROR('ABS Extract'!Y2/'ABS Extract'!Z2,"")</x:f>
        <x:v>0.2883657763693979</x:v>
      </x:c>
      <x:c r="U2" s="54" t="n">
        <x:f>IFERROR('ABS Extract'!AB2/100,"")</x:f>
        <x:v>0.748</x:v>
      </x:c>
      <x:c r="V2" s="54" t="n">
        <x:f>IFERROR('ABS Extract'!AC2/100,"")</x:f>
        <x:v>0.049</x:v>
      </x:c>
      <x:c r="W2" s="54" t="n">
        <x:f>IFERROR(('ABS Extract'!AD2+'ABS Extract'!AE2+'ABS Extract'!AF2)/'ABS Extract'!AA2,"")</x:f>
        <x:v>0.5401979719942057</x:v>
      </x:c>
      <x:c r="X2" t="str">
        <x:f>'ABS Extract'!AG2</x:f>
        <x:v>https://www.abs.gov.au/census/find-census-data/community-profiles/2021/SAL20616</x:v>
      </x:c>
    </x:row>
    <x:row r="3">
      <x:c r="A3" t="str">
        <x:f>'ABS Extract'!A3</x:f>
        <x:v>SAL22000</x:v>
      </x:c>
      <x:c r="B3" t="str">
        <x:f>'ABS Extract'!B3</x:f>
        <x:v>Oakleigh</x:v>
      </x:c>
      <x:c r="C3" s="49" t="n">
        <x:f>'ABS Extract'!D3</x:f>
        <x:v>8442</x:v>
      </x:c>
      <x:c r="D3" s="48" t="n">
        <x:f>'ABS Extract'!C3</x:f>
        <x:v>3.4766</x:v>
      </x:c>
      <x:c r="E3" s="49" t="n">
        <x:f>IFERROR('ABS Extract'!D3/'ABS Extract'!C3,"")</x:f>
        <x:v>2428.2344819651385</x:v>
      </x:c>
      <x:c r="F3" s="50" t="n">
        <x:f>'ABS Extract'!G3</x:f>
        <x:v>38</x:v>
      </x:c>
      <x:c r="G3" s="54" t="n">
        <x:f>IFERROR(('ABS Extract'!E3+'ABS Extract'!F3)/'ABS Extract'!D3,"")</x:f>
        <x:v>0.3075100687040986</x:v>
      </x:c>
      <x:c r="H3" s="52" t="n">
        <x:f>'ABS Extract'!K3</x:f>
        <x:v>2.5</x:v>
      </x:c>
      <x:c r="I3" s="54" t="n">
        <x:f>IFERROR(('ABS Extract'!M3+'ABS Extract'!N3)/'ABS Extract'!L3,"")</x:f>
        <x:v>0.3303769401330377</x:v>
      </x:c>
      <x:c r="J3" s="51" t="n">
        <x:f>'ABS Extract'!H3</x:f>
        <x:v>1926</x:v>
      </x:c>
      <x:c r="K3" s="51" t="n">
        <x:f>'ABS Extract'!I3</x:f>
        <x:v>410</x:v>
      </x:c>
      <x:c r="L3" s="51" t="n">
        <x:f>'ABS Extract'!J3</x:f>
        <x:v>2100</x:v>
      </x:c>
      <x:c r="M3" s="54" t="n">
        <x:f>IFERROR('ABS Extract'!X3/'ABS Extract'!U3,"")</x:f>
        <x:v>0.3451979134703897</x:v>
      </x:c>
      <x:c r="N3" s="54" t="n">
        <x:f>IFERROR('ABS Extract'!W3/'ABS Extract'!U3,"")</x:f>
        <x:v>0.3126725989567352</x:v>
      </x:c>
      <x:c r="O3" s="54" t="n">
        <x:f>IFERROR('ABS Extract'!V3/'ABS Extract'!U3,"")</x:f>
        <x:v>0.31389996931574105</x:v>
      </x:c>
      <x:c r="P3" s="54" t="n">
        <x:f>IFERROR('ABS Extract'!R3/'ABS Extract'!O3,"")</x:f>
        <x:v>0.6185946609389383</x:v>
      </x:c>
      <x:c r="Q3" s="54" t="n">
        <x:f>IFERROR('ABS Extract'!S3/'ABS Extract'!O3,"")</x:f>
        <x:v>0.122737035900583</x:v>
      </x:c>
      <x:c r="R3" s="54" t="n">
        <x:f>IFERROR('ABS Extract'!T3/'ABS Extract'!O3,"")</x:f>
        <x:v>0.25682724762196996</x:v>
      </x:c>
      <x:c r="S3" s="54" t="n">
        <x:f>IFERROR('ABS Extract'!Q3/'ABS Extract'!P3,"")</x:f>
        <x:v>0.12308519215264714</x:v>
      </x:c>
      <x:c r="T3" s="54" t="n">
        <x:f>IFERROR('ABS Extract'!Y3/'ABS Extract'!Z3,"")</x:f>
        <x:v>0.1096231703519153</x:v>
      </x:c>
      <x:c r="U3" s="54" t="n">
        <x:f>IFERROR('ABS Extract'!AB3/100,"")</x:f>
        <x:v>0.6609999999999999</x:v>
      </x:c>
      <x:c r="V3" s="54" t="n">
        <x:f>IFERROR('ABS Extract'!AC3/100,"")</x:f>
        <x:v>0.053</x:v>
      </x:c>
      <x:c r="W3" s="54" t="n">
        <x:f>IFERROR(('ABS Extract'!AD3+'ABS Extract'!AE3+'ABS Extract'!AF3)/'ABS Extract'!AA3,"")</x:f>
        <x:v>0.38415649278579356</x:v>
      </x:c>
      <x:c r="X3" t="str">
        <x:f>'ABS Extract'!AG3</x:f>
        <x:v>https://www.abs.gov.au/census/find-census-data/community-profiles/2021/SAL22000</x:v>
      </x:c>
    </x:row>
    <x:row r="4">
      <x:c r="A4" t="str">
        <x:f>'ABS Extract'!A4</x:f>
        <x:v>SAL21985</x:v>
      </x:c>
      <x:c r="B4" t="str">
        <x:f>'ABS Extract'!B4</x:f>
        <x:v>Nunawading</x:v>
      </x:c>
      <x:c r="C4" s="49" t="n">
        <x:f>'ABS Extract'!D4</x:f>
        <x:v>12413</x:v>
      </x:c>
      <x:c r="D4" s="48" t="n">
        <x:f>'ABS Extract'!C4</x:f>
        <x:v>5.0785</x:v>
      </x:c>
      <x:c r="E4" s="49" t="n">
        <x:f>IFERROR('ABS Extract'!D4/'ABS Extract'!C4,"")</x:f>
        <x:v>2444.225657182239</x:v>
      </x:c>
      <x:c r="F4" s="50" t="n">
        <x:f>'ABS Extract'!G4</x:f>
        <x:v>39</x:v>
      </x:c>
      <x:c r="G4" s="54" t="n">
        <x:f>IFERROR(('ABS Extract'!E4+'ABS Extract'!F4)/'ABS Extract'!D4,"")</x:f>
        <x:v>0.30347216627728996</x:v>
      </x:c>
      <x:c r="H4" s="52" t="n">
        <x:f>'ABS Extract'!K4</x:f>
        <x:v>2.6</x:v>
      </x:c>
      <x:c r="I4" s="54" t="n">
        <x:f>IFERROR(('ABS Extract'!M4+'ABS Extract'!N4)/'ABS Extract'!L4,"")</x:f>
        <x:v>0.39724770642201834</x:v>
      </x:c>
      <x:c r="J4" s="51" t="n">
        <x:f>'ABS Extract'!H4</x:f>
        <x:v>1938</x:v>
      </x:c>
      <x:c r="K4" s="51" t="n">
        <x:f>'ABS Extract'!I4</x:f>
        <x:v>391</x:v>
      </x:c>
      <x:c r="L4" s="51" t="n">
        <x:f>'ABS Extract'!J4</x:f>
        <x:v>2167</x:v>
      </x:c>
      <x:c r="M4" s="54" t="n">
        <x:f>IFERROR('ABS Extract'!X4/'ABS Extract'!U4,"")</x:f>
        <x:v>0.2865254422362961</x:v>
      </x:c>
      <x:c r="N4" s="54" t="n">
        <x:f>IFERROR('ABS Extract'!W4/'ABS Extract'!U4,"")</x:f>
        <x:v>0.3468006114872243</x:v>
      </x:c>
      <x:c r="O4" s="54" t="n">
        <x:f>IFERROR('ABS Extract'!V4/'ABS Extract'!U4,"")</x:f>
        <x:v>0.318628521511247</x:v>
      </x:c>
      <x:c r="P4" s="54" t="n">
        <x:f>IFERROR('ABS Extract'!R4/'ABS Extract'!O4,"")</x:f>
        <x:v>0.6874863507316008</x:v>
      </x:c>
      <x:c r="Q4" s="54" t="n">
        <x:f>IFERROR('ABS Extract'!S4/'ABS Extract'!O4,"")</x:f>
        <x:v>0.27844507534396157</x:v>
      </x:c>
      <x:c r="R4" s="54" t="n">
        <x:f>IFERROR('ABS Extract'!T4/'ABS Extract'!O4,"")</x:f>
        <x:v>0.03188469098056344</x:v>
      </x:c>
      <x:c r="S4" s="54" t="n">
        <x:f>IFERROR('ABS Extract'!Q4/'ABS Extract'!P4,"")</x:f>
        <x:v>0.05737199259716225</x:v>
      </x:c>
      <x:c r="T4" s="54" t="n">
        <x:f>IFERROR('ABS Extract'!Y4/'ABS Extract'!Z4,"")</x:f>
        <x:v>0.06792199058507062</x:v>
      </x:c>
      <x:c r="U4" s="54" t="n">
        <x:f>IFERROR('ABS Extract'!AB4/100,"")</x:f>
        <x:v>0.632</x:v>
      </x:c>
      <x:c r="V4" s="54" t="n">
        <x:f>IFERROR('ABS Extract'!AC4/100,"")</x:f>
        <x:v>0.045</x:v>
      </x:c>
      <x:c r="W4" s="54" t="n">
        <x:f>IFERROR(('ABS Extract'!AD4+'ABS Extract'!AE4+'ABS Extract'!AF4)/'ABS Extract'!AA4,"")</x:f>
        <x:v>0.39923768569194684</x:v>
      </x:c>
      <x:c r="X4" t="str">
        <x:f>'ABS Extract'!AG4</x:f>
        <x:v>https://www.abs.gov.au/census/find-census-data/community-profiles/2021/SAL21985</x:v>
      </x:c>
    </x:row>
    <x:row r="5">
      <x:c r="A5" t="str">
        <x:f>'ABS Extract'!A5</x:f>
        <x:v>SAL20825</x:v>
      </x:c>
      <x:c r="B5" t="str">
        <x:f>'ABS Extract'!B5</x:f>
        <x:v>Eaglemont</x:v>
      </x:c>
      <x:c r="C5" s="49" t="n">
        <x:f>'ABS Extract'!D5</x:f>
        <x:v>3960</x:v>
      </x:c>
      <x:c r="D5" s="48" t="n">
        <x:f>'ABS Extract'!C5</x:f>
        <x:v>2.2074</x:v>
      </x:c>
      <x:c r="E5" s="49" t="n">
        <x:f>IFERROR('ABS Extract'!D5/'ABS Extract'!C5,"")</x:f>
        <x:v>1793.9657515629249</x:v>
      </x:c>
      <x:c r="F5" s="50" t="n">
        <x:f>'ABS Extract'!G5</x:f>
        <x:v>46</x:v>
      </x:c>
      <x:c r="G5" s="54" t="n">
        <x:f>IFERROR(('ABS Extract'!E5+'ABS Extract'!F5)/'ABS Extract'!D5,"")</x:f>
        <x:v>0.19873737373737374</x:v>
      </x:c>
      <x:c r="H5" s="52" t="n">
        <x:f>'ABS Extract'!K5</x:f>
        <x:v>2.7</x:v>
      </x:c>
      <x:c r="I5" s="54" t="n">
        <x:f>IFERROR(('ABS Extract'!M5+'ABS Extract'!N5)/'ABS Extract'!L5,"")</x:f>
        <x:v>0.30667838312829526</x:v>
      </x:c>
      <x:c r="J5" s="51" t="n">
        <x:f>'ABS Extract'!H5</x:f>
        <x:v>2866</x:v>
      </x:c>
      <x:c r="K5" s="51" t="n">
        <x:f>'ABS Extract'!I5</x:f>
        <x:v>453</x:v>
      </x:c>
      <x:c r="L5" s="51" t="n">
        <x:f>'ABS Extract'!J5</x:f>
        <x:v>3073</x:v>
      </x:c>
      <x:c r="M5" s="54" t="n">
        <x:f>IFERROR('ABS Extract'!X5/'ABS Extract'!U5,"")</x:f>
        <x:v>0.19859154929577466</x:v>
      </x:c>
      <x:c r="N5" s="54" t="n">
        <x:f>IFERROR('ABS Extract'!W5/'ABS Extract'!U5,"")</x:f>
        <x:v>0.2908450704225352</x:v>
      </x:c>
      <x:c r="O5" s="54" t="n">
        <x:f>IFERROR('ABS Extract'!V5/'ABS Extract'!U5,"")</x:f>
        <x:v>0.4887323943661972</x:v>
      </x:c>
      <x:c r="P5" s="54" t="n">
        <x:f>IFERROR('ABS Extract'!R5/'ABS Extract'!O5,"")</x:f>
        <x:v>0.7838028169014084</x:v>
      </x:c>
      <x:c r="Q5" s="54" t="n">
        <x:f>IFERROR('ABS Extract'!S5/'ABS Extract'!O5,"")</x:f>
        <x:v>0.05704225352112676</x:v>
      </x:c>
      <x:c r="R5" s="54" t="n">
        <x:f>IFERROR('ABS Extract'!T5/'ABS Extract'!O5,"")</x:f>
        <x:v>0.15704225352112677</x:v>
      </x:c>
      <x:c r="S5" s="54" t="n">
        <x:f>IFERROR('ABS Extract'!Q5/'ABS Extract'!P5,"")</x:f>
        <x:v>0.09478371501272265</x:v>
      </x:c>
      <x:c r="T5" s="54" t="n">
        <x:f>IFERROR('ABS Extract'!Y5/'ABS Extract'!Z5,"")</x:f>
        <x:v>0.037535410764872525</x:v>
      </x:c>
      <x:c r="U5" s="54" t="n">
        <x:f>IFERROR('ABS Extract'!AB5/100,"")</x:f>
        <x:v>0.649</x:v>
      </x:c>
      <x:c r="V5" s="54" t="n">
        <x:f>IFERROR('ABS Extract'!AC5/100,"")</x:f>
        <x:v>0.037000000000000005</x:v>
      </x:c>
      <x:c r="W5" s="54" t="n">
        <x:f>IFERROR(('ABS Extract'!AD5+'ABS Extract'!AE5+'ABS Extract'!AF5)/'ABS Extract'!AA5,"")</x:f>
        <x:v>0.5061285500747384</x:v>
      </x:c>
      <x:c r="X5" t="str">
        <x:f>'ABS Extract'!AG5</x:f>
        <x:v>https://www.abs.gov.au/census/find-census-data/community-profiles/2021/SAL20825</x:v>
      </x:c>
    </x:row>
    <x:row r="6">
      <x:c r="A6" t="str">
        <x:f>'ABS Extract'!A6</x:f>
        <x:v>SAL22170</x:v>
      </x:c>
      <x:c r="B6" t="str">
        <x:f>'ABS Extract'!B6</x:f>
        <x:v>Richmond (Vic.)</x:v>
      </x:c>
      <x:c r="C6" s="49" t="n">
        <x:f>'ABS Extract'!D6</x:f>
        <x:v>28587</x:v>
      </x:c>
      <x:c r="D6" s="48" t="n">
        <x:f>'ABS Extract'!C6</x:f>
        <x:v>4.4307</x:v>
      </x:c>
      <x:c r="E6" s="49" t="n">
        <x:f>IFERROR('ABS Extract'!D6/'ABS Extract'!C6,"")</x:f>
        <x:v>6452.027896269213</x:v>
      </x:c>
      <x:c r="F6" s="50" t="n">
        <x:f>'ABS Extract'!G6</x:f>
        <x:v>34</x:v>
      </x:c>
      <x:c r="G6" s="54" t="n">
        <x:f>IFERROR(('ABS Extract'!E6+'ABS Extract'!F6)/'ABS Extract'!D6,"")</x:f>
        <x:v>0.47885402455661663</x:v>
      </x:c>
      <x:c r="H6" s="52" t="n">
        <x:f>'ABS Extract'!K6</x:f>
        <x:v>2</x:v>
      </x:c>
      <x:c r="I6" s="54" t="n">
        <x:f>IFERROR(('ABS Extract'!M6+'ABS Extract'!N6)/'ABS Extract'!L6,"")</x:f>
        <x:v>0.2545782047433203</x:v>
      </x:c>
      <x:c r="J6" s="51" t="n">
        <x:f>'ABS Extract'!H6</x:f>
        <x:v>2245</x:v>
      </x:c>
      <x:c r="K6" s="51" t="n">
        <x:f>'ABS Extract'!I6</x:f>
        <x:v>441</x:v>
      </x:c>
      <x:c r="L6" s="51" t="n">
        <x:f>'ABS Extract'!J6</x:f>
        <x:v>2292</x:v>
      </x:c>
      <x:c r="M6" s="54" t="n">
        <x:f>IFERROR('ABS Extract'!X6/'ABS Extract'!U6,"")</x:f>
        <x:v>0.5473272686264191</x:v>
      </x:c>
      <x:c r="N6" s="54" t="n">
        <x:f>IFERROR('ABS Extract'!W6/'ABS Extract'!U6,"")</x:f>
        <x:v>0.24238779039169986</x:v>
      </x:c>
      <x:c r="O6" s="54" t="n">
        <x:f>IFERROR('ABS Extract'!V6/'ABS Extract'!U6,"")</x:f>
        <x:v>0.18803097511465303</x:v>
      </x:c>
      <x:c r="P6" s="54" t="n">
        <x:f>IFERROR('ABS Extract'!R6/'ABS Extract'!O6,"")</x:f>
        <x:v>0.1564544019246673</x:v>
      </x:c>
      <x:c r="Q6" s="54" t="n">
        <x:f>IFERROR('ABS Extract'!S6/'ABS Extract'!O6,"")</x:f>
        <x:v>0.3068190361626945</x:v>
      </x:c>
      <x:c r="R6" s="54" t="n">
        <x:f>IFERROR('ABS Extract'!T6/'ABS Extract'!O6,"")</x:f>
        <x:v>0.530336064957522</x:v>
      </x:c>
      <x:c r="S6" s="54" t="n">
        <x:f>IFERROR('ABS Extract'!Q6/'ABS Extract'!P6,"")</x:f>
        <x:v>0.1490178514300339</x:v>
      </x:c>
      <x:c r="T6" s="54" t="n">
        <x:f>IFERROR('ABS Extract'!Y6/'ABS Extract'!Z6,"")</x:f>
        <x:v>0.19547669814194335</x:v>
      </x:c>
      <x:c r="U6" s="54" t="n">
        <x:f>IFERROR('ABS Extract'!AB6/100,"")</x:f>
        <x:v>0.748</x:v>
      </x:c>
      <x:c r="V6" s="54" t="n">
        <x:f>IFERROR('ABS Extract'!AC6/100,"")</x:f>
        <x:v>0.035</x:v>
      </x:c>
      <x:c r="W6" s="54" t="n">
        <x:f>IFERROR(('ABS Extract'!AD6+'ABS Extract'!AE6+'ABS Extract'!AF6)/'ABS Extract'!AA6,"")</x:f>
        <x:v>0.526303565207293</x:v>
      </x:c>
      <x:c r="X6" t="str">
        <x:f>'ABS Extract'!AG6</x:f>
        <x:v>https://www.abs.gov.au/census/find-census-data/community-profiles/2021/SAL22170</x:v>
      </x:c>
    </x:row>
    <x:row r="7">
      <x:c r="A7" t="str">
        <x:f>'ABS Extract'!A7</x:f>
        <x:v>SAL20495</x:v>
      </x:c>
      <x:c r="B7" t="str">
        <x:f>'ABS Extract'!B7</x:f>
        <x:v>Carlton (Vic.)</x:v>
      </x:c>
      <x:c r="C7" s="49" t="n">
        <x:f>'ABS Extract'!D7</x:f>
        <x:v>16055</x:v>
      </x:c>
      <x:c r="D7" s="48" t="n">
        <x:f>'ABS Extract'!C7</x:f>
        <x:v>1.7728</x:v>
      </x:c>
      <x:c r="E7" s="49" t="n">
        <x:f>IFERROR('ABS Extract'!D7/'ABS Extract'!C7,"")</x:f>
        <x:v>9056.29512635379</x:v>
      </x:c>
      <x:c r="F7" s="50" t="n">
        <x:f>'ABS Extract'!G7</x:f>
        <x:v>27</x:v>
      </x:c>
      <x:c r="G7" s="54" t="n">
        <x:f>IFERROR(('ABS Extract'!E7+'ABS Extract'!F7)/'ABS Extract'!D7,"")</x:f>
        <x:v>0.44590470258486453</x:v>
      </x:c>
      <x:c r="H7" s="52" t="n">
        <x:f>'ABS Extract'!K7</x:f>
        <x:v>1.8</x:v>
      </x:c>
      <x:c r="I7" s="54" t="n">
        <x:f>IFERROR(('ABS Extract'!M7+'ABS Extract'!N7)/'ABS Extract'!L7,"")</x:f>
        <x:v>0.2029214370311883</x:v>
      </x:c>
      <x:c r="J7" s="51" t="n">
        <x:f>'ABS Extract'!H7</x:f>
        <x:v>1292</x:v>
      </x:c>
      <x:c r="K7" s="51" t="n">
        <x:f>'ABS Extract'!I7</x:f>
        <x:v>365</x:v>
      </x:c>
      <x:c r="L7" s="51" t="n">
        <x:f>'ABS Extract'!J7</x:f>
        <x:v>1898</x:v>
      </x:c>
      <x:c r="M7" s="54" t="n">
        <x:f>IFERROR('ABS Extract'!X7/'ABS Extract'!U7,"")</x:f>
        <x:v>0.7227036395147314</x:v>
      </x:c>
      <x:c r="N7" s="54" t="n">
        <x:f>IFERROR('ABS Extract'!W7/'ABS Extract'!U7,"")</x:f>
        <x:v>0.10037550548815713</x:v>
      </x:c>
      <x:c r="O7" s="54" t="n">
        <x:f>IFERROR('ABS Extract'!V7/'ABS Extract'!U7,"")</x:f>
        <x:v>0.13316002310803005</x:v>
      </x:c>
      <x:c r="P7" s="54" t="n">
        <x:f>IFERROR('ABS Extract'!R7/'ABS Extract'!O7,"")</x:f>
        <x:v>0.013431542461005199</x:v>
      </x:c>
      <x:c r="Q7" s="54" t="n">
        <x:f>IFERROR('ABS Extract'!S7/'ABS Extract'!O7,"")</x:f>
        <x:v>0.17128827267475447</x:v>
      </x:c>
      <x:c r="R7" s="54" t="n">
        <x:f>IFERROR('ABS Extract'!T7/'ABS Extract'!O7,"")</x:f>
        <x:v>0.8070479491623339</x:v>
      </x:c>
      <x:c r="S7" s="54" t="n">
        <x:f>IFERROR('ABS Extract'!Q7/'ABS Extract'!P7,"")</x:f>
        <x:v>0.29584053696735485</x:v>
      </x:c>
      <x:c r="T7" s="54" t="n">
        <x:f>IFERROR('ABS Extract'!Y7/'ABS Extract'!Z7,"")</x:f>
        <x:v>0.48598406609619355</x:v>
      </x:c>
      <x:c r="U7" s="54" t="n">
        <x:f>IFERROR('ABS Extract'!AB7/100,"")</x:f>
        <x:v>0.632</x:v>
      </x:c>
      <x:c r="V7" s="54" t="n">
        <x:f>IFERROR('ABS Extract'!AC7/100,"")</x:f>
        <x:v>0.114</x:v>
      </x:c>
      <x:c r="W7" s="54" t="n">
        <x:f>IFERROR(('ABS Extract'!AD7+'ABS Extract'!AE7+'ABS Extract'!AF7)/'ABS Extract'!AA7,"")</x:f>
        <x:v>0.5271853607161664</x:v>
      </x:c>
      <x:c r="X7" t="str">
        <x:f>'ABS Extract'!AG7</x:f>
        <x:v>https://www.abs.gov.au/census/find-census-data/community-profiles/2021/SAL20495</x:v>
      </x:c>
    </x:row>
    <x:row r="8">
      <x:c r="A8" t="str">
        <x:f>'ABS Extract'!A8</x:f>
        <x:v>SAL22627</x:v>
      </x:c>
      <x:c r="B8" t="str">
        <x:f>'ABS Extract'!B8</x:f>
        <x:v>Vermont</x:v>
      </x:c>
      <x:c r="C8" s="49" t="n">
        <x:f>'ABS Extract'!D8</x:f>
        <x:v>10993</x:v>
      </x:c>
      <x:c r="D8" s="48" t="n">
        <x:f>'ABS Extract'!C8</x:f>
        <x:v>4.6098</x:v>
      </x:c>
      <x:c r="E8" s="49" t="n">
        <x:f>IFERROR('ABS Extract'!D8/'ABS Extract'!C8,"")</x:f>
        <x:v>2384.7021562757604</x:v>
      </x:c>
      <x:c r="F8" s="50" t="n">
        <x:f>'ABS Extract'!G8</x:f>
        <x:v>40</x:v>
      </x:c>
      <x:c r="G8" s="54" t="n">
        <x:f>IFERROR(('ABS Extract'!E8+'ABS Extract'!F8)/'ABS Extract'!D8,"")</x:f>
        <x:v>0.2446102064950423</x:v>
      </x:c>
      <x:c r="H8" s="52" t="n">
        <x:f>'ABS Extract'!K8</x:f>
        <x:v>2.8</x:v>
      </x:c>
      <x:c r="I8" s="54" t="n">
        <x:f>IFERROR(('ABS Extract'!M8+'ABS Extract'!N8)/'ABS Extract'!L8,"")</x:f>
        <x:v>0.42829331602855286</x:v>
      </x:c>
      <x:c r="J8" s="51" t="n">
        <x:f>'ABS Extract'!H8</x:f>
        <x:v>2042</x:v>
      </x:c>
      <x:c r="K8" s="51" t="n">
        <x:f>'ABS Extract'!I8</x:f>
        <x:v>426</x:v>
      </x:c>
      <x:c r="L8" s="51" t="n">
        <x:f>'ABS Extract'!J8</x:f>
        <x:v>2383</x:v>
      </x:c>
      <x:c r="M8" s="54" t="n">
        <x:f>IFERROR('ABS Extract'!X8/'ABS Extract'!U8,"")</x:f>
        <x:v>0.18578947368421053</x:v>
      </x:c>
      <x:c r="N8" s="54" t="n">
        <x:f>IFERROR('ABS Extract'!W8/'ABS Extract'!U8,"")</x:f>
        <x:v>0.4</x:v>
      </x:c>
      <x:c r="O8" s="54" t="n">
        <x:f>IFERROR('ABS Extract'!V8/'ABS Extract'!U8,"")</x:f>
        <x:v>0.39421052631578946</x:v>
      </x:c>
      <x:c r="P8" s="54" t="n">
        <x:f>IFERROR('ABS Extract'!R8/'ABS Extract'!O8,"")</x:f>
        <x:v>0.7976315789473685</x:v>
      </x:c>
      <x:c r="Q8" s="54" t="n">
        <x:f>IFERROR('ABS Extract'!S8/'ABS Extract'!O8,"")</x:f>
        <x:v>0.19815789473684212</x:v>
      </x:c>
      <x:c r="R8" s="54" t="n">
        <x:f>IFERROR('ABS Extract'!T8/'ABS Extract'!O8,"")</x:f>
        <x:v>0.004210526315789474</x:v>
      </x:c>
      <x:c r="S8" s="54" t="n">
        <x:f>IFERROR('ABS Extract'!Q8/'ABS Extract'!P8,"")</x:f>
        <x:v>0.05469915464942814</x:v>
      </x:c>
      <x:c r="T8" s="54" t="n">
        <x:f>IFERROR('ABS Extract'!Y8/'ABS Extract'!Z8,"")</x:f>
        <x:v>0.031489812119608364</x:v>
      </x:c>
      <x:c r="U8" s="54" t="n">
        <x:f>IFERROR('ABS Extract'!AB8/100,"")</x:f>
        <x:v>0.631</x:v>
      </x:c>
      <x:c r="V8" s="54" t="n">
        <x:f>IFERROR('ABS Extract'!AC8/100,"")</x:f>
        <x:v>0.045</x:v>
      </x:c>
      <x:c r="W8" s="54" t="n">
        <x:f>IFERROR(('ABS Extract'!AD8+'ABS Extract'!AE8+'ABS Extract'!AF8)/'ABS Extract'!AA8,"")</x:f>
        <x:v>0.3931721846717837</x:v>
      </x:c>
      <x:c r="X8" t="str">
        <x:f>'ABS Extract'!AG8</x:f>
        <x:v>https://www.abs.gov.au/census/find-census-data/community-profiles/2021/SAL22627</x:v>
      </x:c>
    </x:row>
    <x:row r="9">
      <x:c r="A9" t="str">
        <x:f>'ABS Extract'!A9</x:f>
        <x:v>SAL20707</x:v>
      </x:c>
      <x:c r="B9" t="str">
        <x:f>'ABS Extract'!B9</x:f>
        <x:v>Dandenong</x:v>
      </x:c>
      <x:c r="C9" s="49" t="n">
        <x:f>'ABS Extract'!D9</x:f>
        <x:v>30127</x:v>
      </x:c>
      <x:c r="D9" s="48" t="n">
        <x:f>'ABS Extract'!C9</x:f>
        <x:v>11.3813</x:v>
      </x:c>
      <x:c r="E9" s="49" t="n">
        <x:f>IFERROR('ABS Extract'!D9/'ABS Extract'!C9,"")</x:f>
        <x:v>2647.061407747797</x:v>
      </x:c>
      <x:c r="F9" s="50" t="n">
        <x:f>'ABS Extract'!G9</x:f>
        <x:v>33</x:v>
      </x:c>
      <x:c r="G9" s="54" t="n">
        <x:f>IFERROR(('ABS Extract'!E9+'ABS Extract'!F9)/'ABS Extract'!D9,"")</x:f>
        <x:v>0.36399243203770704</x:v>
      </x:c>
      <x:c r="H9" s="52" t="n">
        <x:f>'ABS Extract'!K9</x:f>
        <x:v>2.8</x:v>
      </x:c>
      <x:c r="I9" s="54" t="n">
        <x:f>IFERROR(('ABS Extract'!M9+'ABS Extract'!N9)/'ABS Extract'!L9,"")</x:f>
        <x:v>0.4359769605671245</x:v>
      </x:c>
      <x:c r="J9" s="51" t="n">
        <x:f>'ABS Extract'!H9</x:f>
        <x:v>1267</x:v>
      </x:c>
      <x:c r="K9" s="51" t="n">
        <x:f>'ABS Extract'!I9</x:f>
        <x:v>319</x:v>
      </x:c>
      <x:c r="L9" s="51" t="n">
        <x:f>'ABS Extract'!J9</x:f>
        <x:v>1517</x:v>
      </x:c>
      <x:c r="M9" s="54" t="n">
        <x:f>IFERROR('ABS Extract'!X9/'ABS Extract'!U9,"")</x:f>
        <x:v>0.5273616630999695</x:v>
      </x:c>
      <x:c r="N9" s="54" t="n">
        <x:f>IFERROR('ABS Extract'!W9/'ABS Extract'!U9,"")</x:f>
        <x:v>0.23438296137776418</x:v>
      </x:c>
      <x:c r="O9" s="54" t="n">
        <x:f>IFERROR('ABS Extract'!V9/'ABS Extract'!U9,"")</x:f>
        <x:v>0.19667787628655864</x:v>
      </x:c>
      <x:c r="P9" s="54" t="n">
        <x:f>IFERROR('ABS Extract'!R9/'ABS Extract'!O9,"")</x:f>
        <x:v>0.41353306837868137</x:v>
      </x:c>
      <x:c r="Q9" s="54" t="n">
        <x:f>IFERROR('ABS Extract'!S9/'ABS Extract'!O9,"")</x:f>
        <x:v>0.3899928666055233</x:v>
      </x:c>
      <x:c r="R9" s="54" t="n">
        <x:f>IFERROR('ABS Extract'!T9/'ABS Extract'!O9,"")</x:f>
        <x:v>0.1927035565066748</x:v>
      </x:c>
      <x:c r="S9" s="54" t="n">
        <x:f>IFERROR('ABS Extract'!Q9/'ABS Extract'!P9,"")</x:f>
        <x:v>0.10004585052728106</x:v>
      </x:c>
      <x:c r="T9" s="54" t="n">
        <x:f>IFERROR('ABS Extract'!Y9/'ABS Extract'!Z9,"")</x:f>
        <x:v>0.12587852722123152</x:v>
      </x:c>
      <x:c r="U9" s="54" t="n">
        <x:f>IFERROR('ABS Extract'!AB9/100,"")</x:f>
        <x:v>0.518</x:v>
      </x:c>
      <x:c r="V9" s="54" t="n">
        <x:f>IFERROR('ABS Extract'!AC9/100,"")</x:f>
        <x:v>0.094</x:v>
      </x:c>
      <x:c r="W9" s="54" t="n">
        <x:f>IFERROR(('ABS Extract'!AD9+'ABS Extract'!AE9+'ABS Extract'!AF9)/'ABS Extract'!AA9,"")</x:f>
        <x:v>0.18812691914022517</x:v>
      </x:c>
      <x:c r="X9" t="str">
        <x:f>'ABS Extract'!AG9</x:f>
        <x:v>https://www.abs.gov.au/census/find-census-data/community-profiles/2021/SAL20707</x:v>
      </x:c>
    </x:row>
    <x:row r="10">
      <x:c r="A10" t="str">
        <x:f>'ABS Extract'!A10</x:f>
        <x:v>SAL22006</x:v>
      </x:c>
      <x:c r="B10" t="str">
        <x:f>'ABS Extract'!B10</x:f>
        <x:v>Officer</x:v>
      </x:c>
      <x:c r="C10" s="49" t="n">
        <x:f>'ABS Extract'!D10</x:f>
        <x:v>18503</x:v>
      </x:c>
      <x:c r="D10" s="48" t="n">
        <x:f>'ABS Extract'!C10</x:f>
        <x:v>28.0504</x:v>
      </x:c>
      <x:c r="E10" s="49" t="n">
        <x:f>IFERROR('ABS Extract'!D10/'ABS Extract'!C10,"")</x:f>
        <x:v>659.6340872144426</x:v>
      </x:c>
      <x:c r="F10" s="50" t="n">
        <x:f>'ABS Extract'!G10</x:f>
        <x:v>31</x:v>
      </x:c>
      <x:c r="G10" s="54" t="n">
        <x:f>IFERROR(('ABS Extract'!E10+'ABS Extract'!F10)/'ABS Extract'!D10,"")</x:f>
        <x:v>0.38896395179160137</x:v>
      </x:c>
      <x:c r="H10" s="52" t="n">
        <x:f>'ABS Extract'!K10</x:f>
        <x:v>2.9</x:v>
      </x:c>
      <x:c r="I10" s="54" t="n">
        <x:f>IFERROR(('ABS Extract'!M10+'ABS Extract'!N10)/'ABS Extract'!L10,"")</x:f>
        <x:v>0.5142414260802171</x:v>
      </x:c>
      <x:c r="J10" s="51" t="n">
        <x:f>'ABS Extract'!H10</x:f>
        <x:v>2125</x:v>
      </x:c>
      <x:c r="K10" s="51" t="n">
        <x:f>'ABS Extract'!I10</x:f>
        <x:v>396</x:v>
      </x:c>
      <x:c r="L10" s="51" t="n">
        <x:f>'ABS Extract'!J10</x:f>
        <x:v>2000</x:v>
      </x:c>
      <x:c r="M10" s="54" t="n">
        <x:f>IFERROR('ABS Extract'!X10/'ABS Extract'!U10,"")</x:f>
        <x:v>0.2802734375</x:v>
      </x:c>
      <x:c r="N10" s="54" t="n">
        <x:f>IFERROR('ABS Extract'!W10/'ABS Extract'!U10,"")</x:f>
        <x:v>0.5701497395833334</x:v>
      </x:c>
      <x:c r="O10" s="54" t="n">
        <x:f>IFERROR('ABS Extract'!V10/'ABS Extract'!U10,"")</x:f>
        <x:v>0.13313802083333334</x:v>
      </x:c>
      <x:c r="P10" s="54" t="n">
        <x:f>IFERROR('ABS Extract'!R10/'ABS Extract'!O10,"")</x:f>
        <x:v>0.94580078125</x:v>
      </x:c>
      <x:c r="Q10" s="54" t="n">
        <x:f>IFERROR('ABS Extract'!S10/'ABS Extract'!O10,"")</x:f>
        <x:v>0.05029296875</x:v>
      </x:c>
      <x:c r="R10" s="54" t="n">
        <x:f>IFERROR('ABS Extract'!T10/'ABS Extract'!O10,"")</x:f>
        <x:v>0.0013020833333333333</x:v>
      </x:c>
      <x:c r="S10" s="54" t="n">
        <x:f>IFERROR('ABS Extract'!Q10/'ABS Extract'!P10,"")</x:f>
        <x:v>0.03367957192319799</x:v>
      </x:c>
      <x:c r="T10" s="54" t="n">
        <x:f>IFERROR('ABS Extract'!Y10/'ABS Extract'!Z10,"")</x:f>
        <x:v>0.013608788325955074</x:v>
      </x:c>
      <x:c r="U10" s="54" t="n">
        <x:f>IFERROR('ABS Extract'!AB10/100,"")</x:f>
        <x:v>0.748</x:v>
      </x:c>
      <x:c r="V10" s="54" t="n">
        <x:f>IFERROR('ABS Extract'!AC10/100,"")</x:f>
        <x:v>0.044000000000000004</x:v>
      </x:c>
      <x:c r="W10" s="54" t="n">
        <x:f>IFERROR(('ABS Extract'!AD10+'ABS Extract'!AE10+'ABS Extract'!AF10)/'ABS Extract'!AA10,"")</x:f>
        <x:v>0.28139870223503965</x:v>
      </x:c>
      <x:c r="X10" t="str">
        <x:f>'ABS Extract'!AG10</x:f>
        <x:v>https://www.abs.gov.au/census/find-census-data/community-profiles/2021/SAL22006</x:v>
      </x:c>
    </x:row>
    <x:row r="11">
      <x:c r="A11" t="str">
        <x:f>'ABS Extract'!A11</x:f>
        <x:v>SAL20569</x:v>
      </x:c>
      <x:c r="B11" t="str">
        <x:f>'ABS Extract'!B11</x:f>
        <x:v>Clayton</x:v>
      </x:c>
      <x:c r="C11" s="49" t="n">
        <x:f>'ABS Extract'!D11</x:f>
        <x:v>18988</x:v>
      </x:c>
      <x:c r="D11" s="48" t="n">
        <x:f>'ABS Extract'!C11</x:f>
        <x:v>7.821</x:v>
      </x:c>
      <x:c r="E11" s="49" t="n">
        <x:f>IFERROR('ABS Extract'!D11/'ABS Extract'!C11,"")</x:f>
        <x:v>2427.822529088352</x:v>
      </x:c>
      <x:c r="F11" s="50" t="n">
        <x:f>'ABS Extract'!G11</x:f>
        <x:v>28</x:v>
      </x:c>
      <x:c r="G11" s="54" t="n">
        <x:f>IFERROR(('ABS Extract'!E11+'ABS Extract'!F11)/'ABS Extract'!D11,"")</x:f>
        <x:v>0.4159995786812724</x:v>
      </x:c>
      <x:c r="H11" s="52" t="n">
        <x:f>'ABS Extract'!K11</x:f>
        <x:v>2.5</x:v>
      </x:c>
      <x:c r="I11" s="54" t="n">
        <x:f>IFERROR(('ABS Extract'!M11+'ABS Extract'!N11)/'ABS Extract'!L11,"")</x:f>
        <x:v>0.2958702064896755</x:v>
      </x:c>
      <x:c r="J11" s="51" t="n">
        <x:f>'ABS Extract'!H11</x:f>
        <x:v>1494</x:v>
      </x:c>
      <x:c r="K11" s="51" t="n">
        <x:f>'ABS Extract'!I11</x:f>
        <x:v>400</x:v>
      </x:c>
      <x:c r="L11" s="51" t="n">
        <x:f>'ABS Extract'!J11</x:f>
        <x:v>2000</x:v>
      </x:c>
      <x:c r="M11" s="54" t="n">
        <x:f>IFERROR('ABS Extract'!X11/'ABS Extract'!U11,"")</x:f>
        <x:v>0.6070845576232452</x:v>
      </x:c>
      <x:c r="N11" s="54" t="n">
        <x:f>IFERROR('ABS Extract'!W11/'ABS Extract'!U11,"")</x:f>
        <x:v>0.16960496245510936</x:v>
      </x:c>
      <x:c r="O11" s="54" t="n">
        <x:f>IFERROR('ABS Extract'!V11/'ABS Extract'!U11,"")</x:f>
        <x:v>0.18641854391119816</x:v>
      </x:c>
      <x:c r="P11" s="54" t="n">
        <x:f>IFERROR('ABS Extract'!R11/'ABS Extract'!O11,"")</x:f>
        <x:v>0.3543911198171727</x:v>
      </x:c>
      <x:c r="Q11" s="54" t="n">
        <x:f>IFERROR('ABS Extract'!S11/'ABS Extract'!O11,"")</x:f>
        <x:v>0.42523669604962455</x:v>
      </x:c>
      <x:c r="R11" s="54" t="n">
        <x:f>IFERROR('ABS Extract'!T11/'ABS Extract'!O11,"")</x:f>
        <x:v>0.21727064968984655</x:v>
      </x:c>
      <x:c r="S11" s="54" t="n">
        <x:f>IFERROR('ABS Extract'!Q11/'ABS Extract'!P11,"")</x:f>
        <x:v>0.1824008545867272</x:v>
      </x:c>
      <x:c r="T11" s="54" t="n">
        <x:f>IFERROR('ABS Extract'!Y11/'ABS Extract'!Z11,"")</x:f>
        <x:v>0.16955074875207987</x:v>
      </x:c>
      <x:c r="U11" s="54" t="n">
        <x:f>IFERROR('ABS Extract'!AB11/100,"")</x:f>
        <x:v>0.599</x:v>
      </x:c>
      <x:c r="V11" s="54" t="n">
        <x:f>IFERROR('ABS Extract'!AC11/100,"")</x:f>
        <x:v>0.09699999999999999</x:v>
      </x:c>
      <x:c r="W11" s="54" t="n">
        <x:f>IFERROR(('ABS Extract'!AD11+'ABS Extract'!AE11+'ABS Extract'!AF11)/'ABS Extract'!AA11,"")</x:f>
        <x:v>0.42263305965436065</x:v>
      </x:c>
      <x:c r="X11" t="str">
        <x:f>'ABS Extract'!AG11</x:f>
        <x:v>https://www.abs.gov.au/census/find-census-data/community-profiles/2021/SAL20569</x:v>
      </x:c>
    </x:row>
  </x:sheetData>
  <x:pageMargins left="0.7" right="0.7" top="0.75" bottom="0.75" header="0.3" footer="0.3"/>
  <x:tableParts count="1">
    <x:tablePart xmlns:r="http://schemas.openxmlformats.org/officeDocument/2006/relationships" r:id="R5b8fd7132187485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48" hidden="0" customWidth="1"/>
  </x:cols>
  <x:sheetData>
    <x:row r="1" ht="52" customHeight="1">
      <x:c r="A1" s="53" t="str">
        <x:v>sal_code</x:v>
      </x:c>
      <x:c r="B1" s="34" t="str">
        <x:v>suburb</x:v>
      </x:c>
      <x:c r="C1" s="34" t="str">
        <x:v>area_sq_km</x:v>
      </x:c>
      <x:c r="D1" s="34" t="str">
        <x:v>population</x:v>
      </x:c>
      <x:c r="E1" s="34" t="str">
        <x:v>age_25_34_count</x:v>
      </x:c>
      <x:c r="F1" s="34" t="str">
        <x:v>age_35_44_count</x:v>
      </x:c>
      <x:c r="G1" s="34" t="str">
        <x:v>median_age_years</x:v>
      </x:c>
      <x:c r="H1" s="34" t="str">
        <x:v>median_household_income_weekly_aud</x:v>
      </x:c>
      <x:c r="I1" s="34" t="str">
        <x:v>median_rent_weekly_aud</x:v>
      </x:c>
      <x:c r="J1" s="34" t="str">
        <x:v>median_mortgage_monthly_aud</x:v>
      </x:c>
      <x:c r="K1" s="34" t="str">
        <x:v>average_household_size</x:v>
      </x:c>
      <x:c r="L1" s="34" t="str">
        <x:v>families_total</x:v>
      </x:c>
      <x:c r="M1" s="34" t="str">
        <x:v>couple_families_children_under_15</x:v>
      </x:c>
      <x:c r="N1" s="34" t="str">
        <x:v>one_parent_families_children_under_15</x:v>
      </x:c>
      <x:c r="O1" s="34" t="str">
        <x:v>occupied_private_dwellings</x:v>
      </x:c>
      <x:c r="P1" s="34" t="str">
        <x:v>total_private_dwellings</x:v>
      </x:c>
      <x:c r="Q1" s="34" t="str">
        <x:v>unoccupied_private_dwellings</x:v>
      </x:c>
      <x:c r="R1" s="34" t="str">
        <x:v>separate_house_dwellings</x:v>
      </x:c>
      <x:c r="S1" s="34" t="str">
        <x:v>townhouse_terrace_dwellings</x:v>
      </x:c>
      <x:c r="T1" s="34" t="str">
        <x:v>apartment_dwellings</x:v>
      </x:c>
      <x:c r="U1" s="34" t="str">
        <x:v>tenure_dwellings_total</x:v>
      </x:c>
      <x:c r="V1" s="34" t="str">
        <x:v>owned_outright_dwellings</x:v>
      </x:c>
      <x:c r="W1" s="34" t="str">
        <x:v>owned_with_mortgage_dwellings</x:v>
      </x:c>
      <x:c r="X1" s="34" t="str">
        <x:v>rented_dwellings</x:v>
      </x:c>
      <x:c r="Y1" s="34" t="str">
        <x:v>zero_vehicle_households</x:v>
      </x:c>
      <x:c r="Z1" s="34" t="str">
        <x:v>vehicle_households_total</x:v>
      </x:c>
      <x:c r="AA1" s="34" t="str">
        <x:v>persons_15_plus</x:v>
      </x:c>
      <x:c r="AB1" s="34" t="str">
        <x:v>labour_force_participation_pct_raw</x:v>
      </x:c>
      <x:c r="AC1" s="34" t="str">
        <x:v>unemployment_pct_raw</x:v>
      </x:c>
      <x:c r="AD1" s="34" t="str">
        <x:v>postgraduate_degree_count</x:v>
      </x:c>
      <x:c r="AE1" s="34" t="str">
        <x:v>graduate_diploma_certificate_count</x:v>
      </x:c>
      <x:c r="AF1" s="34" t="str">
        <x:v>bachelor_degree_count</x:v>
      </x:c>
      <x:c r="AG1" s="35" t="str">
        <x:v>source_url</x:v>
      </x:c>
    </x:row>
    <x:row r="2">
      <x:c r="A2" t="str">
        <x:v>SAL20616</x:v>
      </x:c>
      <x:c r="B2" t="str">
        <x:v>Collingwood (Vic.)</x:v>
      </x:c>
      <x:c r="C2" s="48" t="n">
        <x:v>1.2669</x:v>
      </x:c>
      <x:c r="D2" s="49" t="n">
        <x:v>9179</x:v>
      </x:c>
      <x:c r="E2" s="49" t="n">
        <x:v>3348</x:v>
      </x:c>
      <x:c r="F2" s="49" t="n">
        <x:v>1752</x:v>
      </x:c>
      <x:c r="G2" s="50" t="n">
        <x:v>33</x:v>
      </x:c>
      <x:c r="H2" s="51" t="n">
        <x:v>2130</x:v>
      </x:c>
      <x:c r="I2" s="51" t="n">
        <x:v>425</x:v>
      </x:c>
      <x:c r="J2" s="51" t="n">
        <x:v>2167</x:v>
      </x:c>
      <x:c r="K2" s="52" t="n">
        <x:v>1.9</x:v>
      </x:c>
      <x:c r="L2" s="49" t="n">
        <x:v>2109</x:v>
      </x:c>
      <x:c r="M2" s="49" t="n">
        <x:v>310</x:v>
      </x:c>
      <x:c r="N2" s="49" t="n">
        <x:v>183</x:v>
      </x:c>
      <x:c r="O2" s="49" t="n">
        <x:v>4489</x:v>
      </x:c>
      <x:c r="P2" s="49" t="n">
        <x:v>5357</x:v>
      </x:c>
      <x:c r="Q2" s="49" t="n">
        <x:v>859</x:v>
      </x:c>
      <x:c r="R2" s="49" t="n">
        <x:v>259</x:v>
      </x:c>
      <x:c r="S2" s="49" t="n">
        <x:v>1151</x:v>
      </x:c>
      <x:c r="T2" s="49" t="n">
        <x:v>3062</x:v>
      </x:c>
      <x:c r="U2" s="49" t="n">
        <x:v>4489</x:v>
      </x:c>
      <x:c r="V2" s="49" t="n">
        <x:v>484</x:v>
      </x:c>
      <x:c r="W2" s="49" t="n">
        <x:v>1011</x:v>
      </x:c>
      <x:c r="X2" s="49" t="n">
        <x:v>2888</x:v>
      </x:c>
      <x:c r="Y2" s="49" t="n">
        <x:v>1274</x:v>
      </x:c>
      <x:c r="Z2" s="49" t="n">
        <x:v>4418</x:v>
      </x:c>
      <x:c r="AA2" s="49" t="n">
        <x:v>8284</x:v>
      </x:c>
      <x:c r="AB2" s="52" t="n">
        <x:v>74.8</x:v>
      </x:c>
      <x:c r="AC2" s="52" t="n">
        <x:v>4.9</x:v>
      </x:c>
      <x:c r="AD2" s="49" t="n">
        <x:v>1324</x:v>
      </x:c>
      <x:c r="AE2" s="49" t="n">
        <x:v>328</x:v>
      </x:c>
      <x:c r="AF2" s="49" t="n">
        <x:v>2823</x:v>
      </x:c>
      <x:c r="AG2" t="str">
        <x:v>https://www.abs.gov.au/census/find-census-data/community-profiles/2021/SAL20616</x:v>
      </x:c>
    </x:row>
    <x:row r="3">
      <x:c r="A3" t="str">
        <x:v>SAL22000</x:v>
      </x:c>
      <x:c r="B3" t="str">
        <x:v>Oakleigh</x:v>
      </x:c>
      <x:c r="C3" s="48" t="n">
        <x:v>3.4766</x:v>
      </x:c>
      <x:c r="D3" s="49" t="n">
        <x:v>8442</x:v>
      </x:c>
      <x:c r="E3" s="49" t="n">
        <x:v>1438</x:v>
      </x:c>
      <x:c r="F3" s="49" t="n">
        <x:v>1158</x:v>
      </x:c>
      <x:c r="G3" s="50" t="n">
        <x:v>38</x:v>
      </x:c>
      <x:c r="H3" s="51" t="n">
        <x:v>1926</x:v>
      </x:c>
      <x:c r="I3" s="51" t="n">
        <x:v>410</x:v>
      </x:c>
      <x:c r="J3" s="51" t="n">
        <x:v>2100</x:v>
      </x:c>
      <x:c r="K3" s="52" t="n">
        <x:v>2.5</x:v>
      </x:c>
      <x:c r="L3" s="49" t="n">
        <x:v>2255</x:v>
      </x:c>
      <x:c r="M3" s="49" t="n">
        <x:v>651</x:v>
      </x:c>
      <x:c r="N3" s="49" t="n">
        <x:v>94</x:v>
      </x:c>
      <x:c r="O3" s="49" t="n">
        <x:v>3259</x:v>
      </x:c>
      <x:c r="P3" s="49" t="n">
        <x:v>3721</x:v>
      </x:c>
      <x:c r="Q3" s="49" t="n">
        <x:v>458</x:v>
      </x:c>
      <x:c r="R3" s="49" t="n">
        <x:v>2016</x:v>
      </x:c>
      <x:c r="S3" s="49" t="n">
        <x:v>400</x:v>
      </x:c>
      <x:c r="T3" s="49" t="n">
        <x:v>837</x:v>
      </x:c>
      <x:c r="U3" s="49" t="n">
        <x:v>3259</x:v>
      </x:c>
      <x:c r="V3" s="49" t="n">
        <x:v>1023</x:v>
      </x:c>
      <x:c r="W3" s="49" t="n">
        <x:v>1019</x:v>
      </x:c>
      <x:c r="X3" s="49" t="n">
        <x:v>1125</x:v>
      </x:c>
      <x:c r="Y3" s="49" t="n">
        <x:v>352</x:v>
      </x:c>
      <x:c r="Z3" s="49" t="n">
        <x:v>3211</x:v>
      </x:c>
      <x:c r="AA3" s="49" t="n">
        <x:v>7208</x:v>
      </x:c>
      <x:c r="AB3" s="52" t="n">
        <x:v>66.1</x:v>
      </x:c>
      <x:c r="AC3" s="52" t="n">
        <x:v>5.3</x:v>
      </x:c>
      <x:c r="AD3" s="49" t="n">
        <x:v>836</x:v>
      </x:c>
      <x:c r="AE3" s="49" t="n">
        <x:v>222</x:v>
      </x:c>
      <x:c r="AF3" s="49" t="n">
        <x:v>1711</x:v>
      </x:c>
      <x:c r="AG3" t="str">
        <x:v>https://www.abs.gov.au/census/find-census-data/community-profiles/2021/SAL22000</x:v>
      </x:c>
    </x:row>
    <x:row r="4">
      <x:c r="A4" t="str">
        <x:v>SAL21985</x:v>
      </x:c>
      <x:c r="B4" t="str">
        <x:v>Nunawading</x:v>
      </x:c>
      <x:c r="C4" s="48" t="n">
        <x:v>5.0785</x:v>
      </x:c>
      <x:c r="D4" s="49" t="n">
        <x:v>12413</x:v>
      </x:c>
      <x:c r="E4" s="49" t="n">
        <x:v>1816</x:v>
      </x:c>
      <x:c r="F4" s="49" t="n">
        <x:v>1951</x:v>
      </x:c>
      <x:c r="G4" s="50" t="n">
        <x:v>39</x:v>
      </x:c>
      <x:c r="H4" s="51" t="n">
        <x:v>1938</x:v>
      </x:c>
      <x:c r="I4" s="51" t="n">
        <x:v>391</x:v>
      </x:c>
      <x:c r="J4" s="51" t="n">
        <x:v>2167</x:v>
      </x:c>
      <x:c r="K4" s="52" t="n">
        <x:v>2.6</x:v>
      </x:c>
      <x:c r="L4" s="49" t="n">
        <x:v>3270</x:v>
      </x:c>
      <x:c r="M4" s="49" t="n">
        <x:v>1143</x:v>
      </x:c>
      <x:c r="N4" s="49" t="n">
        <x:v>156</x:v>
      </x:c>
      <x:c r="O4" s="49" t="n">
        <x:v>4579</x:v>
      </x:c>
      <x:c r="P4" s="49" t="n">
        <x:v>4863</x:v>
      </x:c>
      <x:c r="Q4" s="49" t="n">
        <x:v>279</x:v>
      </x:c>
      <x:c r="R4" s="49" t="n">
        <x:v>3148</x:v>
      </x:c>
      <x:c r="S4" s="49" t="n">
        <x:v>1275</x:v>
      </x:c>
      <x:c r="T4" s="49" t="n">
        <x:v>146</x:v>
      </x:c>
      <x:c r="U4" s="49" t="n">
        <x:v>4579</x:v>
      </x:c>
      <x:c r="V4" s="49" t="n">
        <x:v>1459</x:v>
      </x:c>
      <x:c r="W4" s="49" t="n">
        <x:v>1588</x:v>
      </x:c>
      <x:c r="X4" s="49" t="n">
        <x:v>1312</x:v>
      </x:c>
      <x:c r="Y4" s="49" t="n">
        <x:v>303</x:v>
      </x:c>
      <x:c r="Z4" s="49" t="n">
        <x:v>4461</x:v>
      </x:c>
      <x:c r="AA4" s="49" t="n">
        <x:v>10232</x:v>
      </x:c>
      <x:c r="AB4" s="52" t="n">
        <x:v>63.2</x:v>
      </x:c>
      <x:c r="AC4" s="52" t="n">
        <x:v>4.5</x:v>
      </x:c>
      <x:c r="AD4" s="49" t="n">
        <x:v>1145</x:v>
      </x:c>
      <x:c r="AE4" s="49" t="n">
        <x:v>385</x:v>
      </x:c>
      <x:c r="AF4" s="49" t="n">
        <x:v>2555</x:v>
      </x:c>
      <x:c r="AG4" t="str">
        <x:v>https://www.abs.gov.au/census/find-census-data/community-profiles/2021/SAL21985</x:v>
      </x:c>
    </x:row>
    <x:row r="5">
      <x:c r="A5" t="str">
        <x:v>SAL20825</x:v>
      </x:c>
      <x:c r="B5" t="str">
        <x:v>Eaglemont</x:v>
      </x:c>
      <x:c r="C5" s="48" t="n">
        <x:v>2.2074</x:v>
      </x:c>
      <x:c r="D5" s="49" t="n">
        <x:v>3960</x:v>
      </x:c>
      <x:c r="E5" s="49" t="n">
        <x:v>389</x:v>
      </x:c>
      <x:c r="F5" s="49" t="n">
        <x:v>398</x:v>
      </x:c>
      <x:c r="G5" s="50" t="n">
        <x:v>46</x:v>
      </x:c>
      <x:c r="H5" s="51" t="n">
        <x:v>2866</x:v>
      </x:c>
      <x:c r="I5" s="51" t="n">
        <x:v>453</x:v>
      </x:c>
      <x:c r="J5" s="51" t="n">
        <x:v>3073</x:v>
      </x:c>
      <x:c r="K5" s="52" t="n">
        <x:v>2.7</x:v>
      </x:c>
      <x:c r="L5" s="49" t="n">
        <x:v>1138</x:v>
      </x:c>
      <x:c r="M5" s="49" t="n">
        <x:v>320</x:v>
      </x:c>
      <x:c r="N5" s="49" t="n">
        <x:v>29</x:v>
      </x:c>
      <x:c r="O5" s="49" t="n">
        <x:v>1420</x:v>
      </x:c>
      <x:c r="P5" s="49" t="n">
        <x:v>1572</x:v>
      </x:c>
      <x:c r="Q5" s="49" t="n">
        <x:v>149</x:v>
      </x:c>
      <x:c r="R5" s="49" t="n">
        <x:v>1113</x:v>
      </x:c>
      <x:c r="S5" s="49" t="n">
        <x:v>81</x:v>
      </x:c>
      <x:c r="T5" s="49" t="n">
        <x:v>223</x:v>
      </x:c>
      <x:c r="U5" s="49" t="n">
        <x:v>1420</x:v>
      </x:c>
      <x:c r="V5" s="49" t="n">
        <x:v>694</x:v>
      </x:c>
      <x:c r="W5" s="49" t="n">
        <x:v>413</x:v>
      </x:c>
      <x:c r="X5" s="49" t="n">
        <x:v>282</x:v>
      </x:c>
      <x:c r="Y5" s="49" t="n">
        <x:v>53</x:v>
      </x:c>
      <x:c r="Z5" s="49" t="n">
        <x:v>1412</x:v>
      </x:c>
      <x:c r="AA5" s="49" t="n">
        <x:v>3345</x:v>
      </x:c>
      <x:c r="AB5" s="52" t="n">
        <x:v>64.9</x:v>
      </x:c>
      <x:c r="AC5" s="52" t="n">
        <x:v>3.7</x:v>
      </x:c>
      <x:c r="AD5" s="49" t="n">
        <x:v>469</x:v>
      </x:c>
      <x:c r="AE5" s="49" t="n">
        <x:v>163</x:v>
      </x:c>
      <x:c r="AF5" s="49" t="n">
        <x:v>1061</x:v>
      </x:c>
      <x:c r="AG5" t="str">
        <x:v>https://www.abs.gov.au/census/find-census-data/community-profiles/2021/SAL20825</x:v>
      </x:c>
    </x:row>
    <x:row r="6">
      <x:c r="A6" t="str">
        <x:v>SAL22170</x:v>
      </x:c>
      <x:c r="B6" t="str">
        <x:v>Richmond (Vic.)</x:v>
      </x:c>
      <x:c r="C6" s="48" t="n">
        <x:v>4.4307</x:v>
      </x:c>
      <x:c r="D6" s="49" t="n">
        <x:v>28587</x:v>
      </x:c>
      <x:c r="E6" s="49" t="n">
        <x:v>9002</x:v>
      </x:c>
      <x:c r="F6" s="49" t="n">
        <x:v>4687</x:v>
      </x:c>
      <x:c r="G6" s="50" t="n">
        <x:v>34</x:v>
      </x:c>
      <x:c r="H6" s="51" t="n">
        <x:v>2245</x:v>
      </x:c>
      <x:c r="I6" s="51" t="n">
        <x:v>441</x:v>
      </x:c>
      <x:c r="J6" s="51" t="n">
        <x:v>2292</x:v>
      </x:c>
      <x:c r="K6" s="52" t="n">
        <x:v>2</x:v>
      </x:c>
      <x:c r="L6" s="49" t="n">
        <x:v>6662</x:v>
      </x:c>
      <x:c r="M6" s="49" t="n">
        <x:v>1368</x:v>
      </x:c>
      <x:c r="N6" s="49" t="n">
        <x:v>328</x:v>
      </x:c>
      <x:c r="O6" s="49" t="n">
        <x:v>13301</x:v>
      </x:c>
      <x:c r="P6" s="49" t="n">
        <x:v>15629</x:v>
      </x:c>
      <x:c r="Q6" s="49" t="n">
        <x:v>2329</x:v>
      </x:c>
      <x:c r="R6" s="49" t="n">
        <x:v>2081</x:v>
      </x:c>
      <x:c r="S6" s="49" t="n">
        <x:v>4081</x:v>
      </x:c>
      <x:c r="T6" s="49" t="n">
        <x:v>7054</x:v>
      </x:c>
      <x:c r="U6" s="49" t="n">
        <x:v>13301</x:v>
      </x:c>
      <x:c r="V6" s="49" t="n">
        <x:v>2501</x:v>
      </x:c>
      <x:c r="W6" s="49" t="n">
        <x:v>3224</x:v>
      </x:c>
      <x:c r="X6" s="49" t="n">
        <x:v>7280</x:v>
      </x:c>
      <x:c r="Y6" s="49" t="n">
        <x:v>2567</x:v>
      </x:c>
      <x:c r="Z6" s="49" t="n">
        <x:v>13132</x:v>
      </x:c>
      <x:c r="AA6" s="49" t="n">
        <x:v>25833</x:v>
      </x:c>
      <x:c r="AB6" s="52" t="n">
        <x:v>74.8</x:v>
      </x:c>
      <x:c r="AC6" s="52" t="n">
        <x:v>3.5</x:v>
      </x:c>
      <x:c r="AD6" s="49" t="n">
        <x:v>3366</x:v>
      </x:c>
      <x:c r="AE6" s="49" t="n">
        <x:v>1146</x:v>
      </x:c>
      <x:c r="AF6" s="49" t="n">
        <x:v>9084</x:v>
      </x:c>
      <x:c r="AG6" t="str">
        <x:v>https://www.abs.gov.au/census/find-census-data/community-profiles/2021/SAL22170</x:v>
      </x:c>
    </x:row>
    <x:row r="7">
      <x:c r="A7" t="str">
        <x:v>SAL20495</x:v>
      </x:c>
      <x:c r="B7" t="str">
        <x:v>Carlton (Vic.)</x:v>
      </x:c>
      <x:c r="C7" s="48" t="n">
        <x:v>1.7728</x:v>
      </x:c>
      <x:c r="D7" s="49" t="n">
        <x:v>16055</x:v>
      </x:c>
      <x:c r="E7" s="49" t="n">
        <x:v>5423</x:v>
      </x:c>
      <x:c r="F7" s="49" t="n">
        <x:v>1736</x:v>
      </x:c>
      <x:c r="G7" s="50" t="n">
        <x:v>27</x:v>
      </x:c>
      <x:c r="H7" s="51" t="n">
        <x:v>1292</x:v>
      </x:c>
      <x:c r="I7" s="51" t="n">
        <x:v>365</x:v>
      </x:c>
      <x:c r="J7" s="51" t="n">
        <x:v>1898</x:v>
      </x:c>
      <x:c r="K7" s="52" t="n">
        <x:v>1.8</x:v>
      </x:c>
      <x:c r="L7" s="49" t="n">
        <x:v>2533</x:v>
      </x:c>
      <x:c r="M7" s="49" t="n">
        <x:v>363</x:v>
      </x:c>
      <x:c r="N7" s="49" t="n">
        <x:v>151</x:v>
      </x:c>
      <x:c r="O7" s="49" t="n">
        <x:v>6924</x:v>
      </x:c>
      <x:c r="P7" s="49" t="n">
        <x:v>9833</x:v>
      </x:c>
      <x:c r="Q7" s="49" t="n">
        <x:v>2909</x:v>
      </x:c>
      <x:c r="R7" s="49" t="n">
        <x:v>93</x:v>
      </x:c>
      <x:c r="S7" s="49" t="n">
        <x:v>1186</x:v>
      </x:c>
      <x:c r="T7" s="49" t="n">
        <x:v>5588</x:v>
      </x:c>
      <x:c r="U7" s="49" t="n">
        <x:v>6924</x:v>
      </x:c>
      <x:c r="V7" s="49" t="n">
        <x:v>922</x:v>
      </x:c>
      <x:c r="W7" s="49" t="n">
        <x:v>695</x:v>
      </x:c>
      <x:c r="X7" s="49" t="n">
        <x:v>5004</x:v>
      </x:c>
      <x:c r="Y7" s="49" t="n">
        <x:v>3294</x:v>
      </x:c>
      <x:c r="Z7" s="49" t="n">
        <x:v>6778</x:v>
      </x:c>
      <x:c r="AA7" s="49" t="n">
        <x:v>15192</x:v>
      </x:c>
      <x:c r="AB7" s="52" t="n">
        <x:v>63.2</x:v>
      </x:c>
      <x:c r="AC7" s="52" t="n">
        <x:v>11.4</x:v>
      </x:c>
      <x:c r="AD7" s="49" t="n">
        <x:v>2877</x:v>
      </x:c>
      <x:c r="AE7" s="49" t="n">
        <x:v>365</x:v>
      </x:c>
      <x:c r="AF7" s="49" t="n">
        <x:v>4767</x:v>
      </x:c>
      <x:c r="AG7" t="str">
        <x:v>https://www.abs.gov.au/census/find-census-data/community-profiles/2021/SAL20495</x:v>
      </x:c>
    </x:row>
    <x:row r="8">
      <x:c r="A8" t="str">
        <x:v>SAL22627</x:v>
      </x:c>
      <x:c r="B8" t="str">
        <x:v>Vermont</x:v>
      </x:c>
      <x:c r="C8" s="48" t="n">
        <x:v>4.6098</x:v>
      </x:c>
      <x:c r="D8" s="49" t="n">
        <x:v>10993</x:v>
      </x:c>
      <x:c r="E8" s="49" t="n">
        <x:v>933</x:v>
      </x:c>
      <x:c r="F8" s="49" t="n">
        <x:v>1756</x:v>
      </x:c>
      <x:c r="G8" s="50" t="n">
        <x:v>40</x:v>
      </x:c>
      <x:c r="H8" s="51" t="n">
        <x:v>2042</x:v>
      </x:c>
      <x:c r="I8" s="51" t="n">
        <x:v>426</x:v>
      </x:c>
      <x:c r="J8" s="51" t="n">
        <x:v>2383</x:v>
      </x:c>
      <x:c r="K8" s="52" t="n">
        <x:v>2.8</x:v>
      </x:c>
      <x:c r="L8" s="49" t="n">
        <x:v>3082</x:v>
      </x:c>
      <x:c r="M8" s="49" t="n">
        <x:v>1155</x:v>
      </x:c>
      <x:c r="N8" s="49" t="n">
        <x:v>165</x:v>
      </x:c>
      <x:c r="O8" s="49" t="n">
        <x:v>3800</x:v>
      </x:c>
      <x:c r="P8" s="49" t="n">
        <x:v>4022</x:v>
      </x:c>
      <x:c r="Q8" s="49" t="n">
        <x:v>220</x:v>
      </x:c>
      <x:c r="R8" s="49" t="n">
        <x:v>3031</x:v>
      </x:c>
      <x:c r="S8" s="49" t="n">
        <x:v>753</x:v>
      </x:c>
      <x:c r="T8" s="49" t="n">
        <x:v>16</x:v>
      </x:c>
      <x:c r="U8" s="49" t="n">
        <x:v>3800</x:v>
      </x:c>
      <x:c r="V8" s="49" t="n">
        <x:v>1498</x:v>
      </x:c>
      <x:c r="W8" s="49" t="n">
        <x:v>1520</x:v>
      </x:c>
      <x:c r="X8" s="49" t="n">
        <x:v>706</x:v>
      </x:c>
      <x:c r="Y8" s="49" t="n">
        <x:v>119</x:v>
      </x:c>
      <x:c r="Z8" s="49" t="n">
        <x:v>3779</x:v>
      </x:c>
      <x:c r="AA8" s="49" t="n">
        <x:v>8729</x:v>
      </x:c>
      <x:c r="AB8" s="52" t="n">
        <x:v>63.1</x:v>
      </x:c>
      <x:c r="AC8" s="52" t="n">
        <x:v>4.5</x:v>
      </x:c>
      <x:c r="AD8" s="49" t="n">
        <x:v>968</x:v>
      </x:c>
      <x:c r="AE8" s="49" t="n">
        <x:v>322</x:v>
      </x:c>
      <x:c r="AF8" s="49" t="n">
        <x:v>2142</x:v>
      </x:c>
      <x:c r="AG8" t="str">
        <x:v>https://www.abs.gov.au/census/find-census-data/community-profiles/2021/SAL22627</x:v>
      </x:c>
    </x:row>
    <x:row r="9">
      <x:c r="A9" t="str">
        <x:v>SAL20707</x:v>
      </x:c>
      <x:c r="B9" t="str">
        <x:v>Dandenong</x:v>
      </x:c>
      <x:c r="C9" s="48" t="n">
        <x:v>11.3813</x:v>
      </x:c>
      <x:c r="D9" s="49" t="n">
        <x:v>30127</x:v>
      </x:c>
      <x:c r="E9" s="49" t="n">
        <x:v>6231</x:v>
      </x:c>
      <x:c r="F9" s="49" t="n">
        <x:v>4735</x:v>
      </x:c>
      <x:c r="G9" s="50" t="n">
        <x:v>33</x:v>
      </x:c>
      <x:c r="H9" s="51" t="n">
        <x:v>1267</x:v>
      </x:c>
      <x:c r="I9" s="51" t="n">
        <x:v>319</x:v>
      </x:c>
      <x:c r="J9" s="51" t="n">
        <x:v>1517</x:v>
      </x:c>
      <x:c r="K9" s="52" t="n">
        <x:v>2.8</x:v>
      </x:c>
      <x:c r="L9" s="49" t="n">
        <x:v>6771</x:v>
      </x:c>
      <x:c r="M9" s="49" t="n">
        <x:v>2377</x:v>
      </x:c>
      <x:c r="N9" s="49" t="n">
        <x:v>575</x:v>
      </x:c>
      <x:c r="O9" s="49" t="n">
        <x:v>9813</x:v>
      </x:c>
      <x:c r="P9" s="49" t="n">
        <x:v>10905</x:v>
      </x:c>
      <x:c r="Q9" s="49" t="n">
        <x:v>1091</x:v>
      </x:c>
      <x:c r="R9" s="49" t="n">
        <x:v>4058</x:v>
      </x:c>
      <x:c r="S9" s="49" t="n">
        <x:v>3827</x:v>
      </x:c>
      <x:c r="T9" s="49" t="n">
        <x:v>1891</x:v>
      </x:c>
      <x:c r="U9" s="49" t="n">
        <x:v>9813</x:v>
      </x:c>
      <x:c r="V9" s="49" t="n">
        <x:v>1930</x:v>
      </x:c>
      <x:c r="W9" s="49" t="n">
        <x:v>2300</x:v>
      </x:c>
      <x:c r="X9" s="49" t="n">
        <x:v>5175</x:v>
      </x:c>
      <x:c r="Y9" s="49" t="n">
        <x:v>1200</x:v>
      </x:c>
      <x:c r="Z9" s="49" t="n">
        <x:v>9533</x:v>
      </x:c>
      <x:c r="AA9" s="49" t="n">
        <x:v>24425</x:v>
      </x:c>
      <x:c r="AB9" s="52" t="n">
        <x:v>51.8</x:v>
      </x:c>
      <x:c r="AC9" s="52" t="n">
        <x:v>9.4</x:v>
      </x:c>
      <x:c r="AD9" s="49" t="n">
        <x:v>1322</x:v>
      </x:c>
      <x:c r="AE9" s="49" t="n">
        <x:v>284</x:v>
      </x:c>
      <x:c r="AF9" s="49" t="n">
        <x:v>2989</x:v>
      </x:c>
      <x:c r="AG9" t="str">
        <x:v>https://www.abs.gov.au/census/find-census-data/community-profiles/2021/SAL20707</x:v>
      </x:c>
    </x:row>
    <x:row r="10">
      <x:c r="A10" t="str">
        <x:v>SAL22006</x:v>
      </x:c>
      <x:c r="B10" t="str">
        <x:v>Officer</x:v>
      </x:c>
      <x:c r="C10" s="48" t="n">
        <x:v>28.0504</x:v>
      </x:c>
      <x:c r="D10" s="49" t="n">
        <x:v>18503</x:v>
      </x:c>
      <x:c r="E10" s="49" t="n">
        <x:v>3846</x:v>
      </x:c>
      <x:c r="F10" s="49" t="n">
        <x:v>3351</x:v>
      </x:c>
      <x:c r="G10" s="50" t="n">
        <x:v>31</x:v>
      </x:c>
      <x:c r="H10" s="51" t="n">
        <x:v>2125</x:v>
      </x:c>
      <x:c r="I10" s="51" t="n">
        <x:v>396</x:v>
      </x:c>
      <x:c r="J10" s="51" t="n">
        <x:v>2000</x:v>
      </x:c>
      <x:c r="K10" s="52" t="n">
        <x:v>2.9</x:v>
      </x:c>
      <x:c r="L10" s="49" t="n">
        <x:v>5161</x:v>
      </x:c>
      <x:c r="M10" s="49" t="n">
        <x:v>2238</x:v>
      </x:c>
      <x:c r="N10" s="49" t="n">
        <x:v>416</x:v>
      </x:c>
      <x:c r="O10" s="49" t="n">
        <x:v>6144</x:v>
      </x:c>
      <x:c r="P10" s="49" t="n">
        <x:v>6354</x:v>
      </x:c>
      <x:c r="Q10" s="49" t="n">
        <x:v>214</x:v>
      </x:c>
      <x:c r="R10" s="49" t="n">
        <x:v>5811</x:v>
      </x:c>
      <x:c r="S10" s="49" t="n">
        <x:v>309</x:v>
      </x:c>
      <x:c r="T10" s="49" t="n">
        <x:v>8</x:v>
      </x:c>
      <x:c r="U10" s="49" t="n">
        <x:v>6144</x:v>
      </x:c>
      <x:c r="V10" s="49" t="n">
        <x:v>818</x:v>
      </x:c>
      <x:c r="W10" s="49" t="n">
        <x:v>3503</x:v>
      </x:c>
      <x:c r="X10" s="49" t="n">
        <x:v>1722</x:v>
      </x:c>
      <x:c r="Y10" s="49" t="n">
        <x:v>83</x:v>
      </x:c>
      <x:c r="Z10" s="49" t="n">
        <x:v>6099</x:v>
      </x:c>
      <x:c r="AA10" s="49" t="n">
        <x:v>13870</x:v>
      </x:c>
      <x:c r="AB10" s="52" t="n">
        <x:v>74.8</x:v>
      </x:c>
      <x:c r="AC10" s="52" t="n">
        <x:v>4.4</x:v>
      </x:c>
      <x:c r="AD10" s="49" t="n">
        <x:v>1038</x:v>
      </x:c>
      <x:c r="AE10" s="49" t="n">
        <x:v>347</x:v>
      </x:c>
      <x:c r="AF10" s="49" t="n">
        <x:v>2518</x:v>
      </x:c>
      <x:c r="AG10" t="str">
        <x:v>https://www.abs.gov.au/census/find-census-data/community-profiles/2021/SAL22006</x:v>
      </x:c>
    </x:row>
    <x:row r="11">
      <x:c r="A11" t="str">
        <x:v>SAL20569</x:v>
      </x:c>
      <x:c r="B11" t="str">
        <x:v>Clayton</x:v>
      </x:c>
      <x:c r="C11" s="48" t="n">
        <x:v>7.821</x:v>
      </x:c>
      <x:c r="D11" s="49" t="n">
        <x:v>18988</x:v>
      </x:c>
      <x:c r="E11" s="49" t="n">
        <x:v>5811</x:v>
      </x:c>
      <x:c r="F11" s="49" t="n">
        <x:v>2088</x:v>
      </x:c>
      <x:c r="G11" s="50" t="n">
        <x:v>28</x:v>
      </x:c>
      <x:c r="H11" s="51" t="n">
        <x:v>1494</x:v>
      </x:c>
      <x:c r="I11" s="51" t="n">
        <x:v>400</x:v>
      </x:c>
      <x:c r="J11" s="51" t="n">
        <x:v>2000</x:v>
      </x:c>
      <x:c r="K11" s="52" t="n">
        <x:v>2.5</x:v>
      </x:c>
      <x:c r="L11" s="49" t="n">
        <x:v>3390</x:v>
      </x:c>
      <x:c r="M11" s="49" t="n">
        <x:v>841</x:v>
      </x:c>
      <x:c r="N11" s="49" t="n">
        <x:v>162</x:v>
      </x:c>
      <x:c r="O11" s="49" t="n">
        <x:v>6126</x:v>
      </x:c>
      <x:c r="P11" s="49" t="n">
        <x:v>7489</x:v>
      </x:c>
      <x:c r="Q11" s="49" t="n">
        <x:v>1366</x:v>
      </x:c>
      <x:c r="R11" s="49" t="n">
        <x:v>2171</x:v>
      </x:c>
      <x:c r="S11" s="49" t="n">
        <x:v>2605</x:v>
      </x:c>
      <x:c r="T11" s="49" t="n">
        <x:v>1331</x:v>
      </x:c>
      <x:c r="U11" s="49" t="n">
        <x:v>6126</x:v>
      </x:c>
      <x:c r="V11" s="49" t="n">
        <x:v>1142</x:v>
      </x:c>
      <x:c r="W11" s="49" t="n">
        <x:v>1039</x:v>
      </x:c>
      <x:c r="X11" s="49" t="n">
        <x:v>3719</x:v>
      </x:c>
      <x:c r="Y11" s="49" t="n">
        <x:v>1019</x:v>
      </x:c>
      <x:c r="Z11" s="49" t="n">
        <x:v>6010</x:v>
      </x:c>
      <x:c r="AA11" s="49" t="n">
        <x:v>17417</x:v>
      </x:c>
      <x:c r="AB11" s="52" t="n">
        <x:v>59.9</x:v>
      </x:c>
      <x:c r="AC11" s="52" t="n">
        <x:v>9.7</x:v>
      </x:c>
      <x:c r="AD11" s="49" t="n">
        <x:v>2992</x:v>
      </x:c>
      <x:c r="AE11" s="49" t="n">
        <x:v>268</x:v>
      </x:c>
      <x:c r="AF11" s="49" t="n">
        <x:v>4101</x:v>
      </x:c>
      <x:c r="AG11" t="str">
        <x:v>https://www.abs.gov.au/census/find-census-data/community-profiles/2021/SAL20569</x:v>
      </x:c>
    </x:row>
  </x:sheetData>
  <x:pageMargins left="0.7" right="0.7" top="0.75" bottom="0.75" header="0.3" footer="0.3"/>
  <x:tableParts count="1">
    <x:tablePart xmlns:r="http://schemas.openxmlformats.org/officeDocument/2006/relationships" r:id="R36fbaf566d38430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25" hidden="0" customWidth="1"/>
    <x:col min="3" max="3" width="48" hidden="0" customWidth="1"/>
    <x:col min="4" max="4" width="14" hidden="0" customWidth="1"/>
    <x:col min="5" max="5" width="55" hidden="0" customWidth="1"/>
    <x:col min="6" max="6" width="30" hidden="0" customWidth="1"/>
    <x:col min="7" max="7" width="42" hidden="0" customWidth="1"/>
    <x:col min="8" max="8" width="20" hidden="0" customWidth="1"/>
  </x:cols>
  <x:sheetData>
    <x:row r="1" ht="52" customHeight="1">
      <x:c r="A1" s="33" t="str">
        <x:v>metric</x:v>
      </x:c>
      <x:c r="B1" s="34" t="str">
        <x:v>topic</x:v>
      </x:c>
      <x:c r="C1" s="34" t="str">
        <x:v>definition_or_formula</x:v>
      </x:c>
      <x:c r="D1" s="34" t="str">
        <x:v>ABS_table</x:v>
      </x:c>
      <x:c r="E1" s="34" t="str">
        <x:v>ABS_source_columns</x:v>
      </x:c>
      <x:c r="F1" s="34" t="str">
        <x:v>recommended_use</x:v>
      </x:c>
      <x:c r="G1" s="34" t="str">
        <x:v>important_caveat</x:v>
      </x:c>
      <x:c r="H1" s="35" t="str">
        <x:v>include_in_dashboard_core</x:v>
      </x:c>
    </x:row>
    <x:row r="2" ht="42" customHeight="1">
      <x:c r="A2" s="55" t="str">
        <x:v>population</x:v>
      </x:c>
      <x:c r="B2" s="55" t="str">
        <x:v>General context</x:v>
      </x:c>
      <x:c r="C2" s="55" t="str">
        <x:v>Usual-resident population count</x:v>
      </x:c>
      <x:c r="D2" s="55" t="str">
        <x:v>G01</x:v>
      </x:c>
      <x:c r="E2" s="55" t="str">
        <x:v>Tot_P_P</x:v>
      </x:c>
      <x:c r="F2" s="55" t="str">
        <x:v>Overview and denominator</x:v>
      </x:c>
      <x:c r="G2" s="55" t="str">
        <x:v>Snapshot at 2021 Census</x:v>
      </x:c>
      <x:c r="H2" s="55" t="str">
        <x:v>Yes</x:v>
      </x:c>
    </x:row>
    <x:row r="3" ht="42" customHeight="1">
      <x:c r="A3" s="55" t="str">
        <x:v>population_density_per_sq_km</x:v>
      </x:c>
      <x:c r="B3" s="55" t="str">
        <x:v>General context</x:v>
      </x:c>
      <x:c r="C3" s="55" t="str">
        <x:v>population / SAL area in sq km</x:v>
      </x:c>
      <x:c r="D3" s="55" t="str">
        <x:v>G01 + geography metadata</x:v>
      </x:c>
      <x:c r="E3" s="55" t="str">
        <x:v>Tot_P_P; Area sqkm</x:v>
      </x:c>
      <x:c r="F3" s="55" t="str">
        <x:v>Urban-form context</x:v>
      </x:c>
      <x:c r="G3" s="55" t="str">
        <x:v>SAL land area includes all land within the boundary</x:v>
      </x:c>
      <x:c r="H3" s="55" t="str">
        <x:v>Yes</x:v>
      </x:c>
    </x:row>
    <x:row r="4" ht="42" customHeight="1">
      <x:c r="A4" s="55" t="str">
        <x:v>median_age_years</x:v>
      </x:c>
      <x:c r="B4" s="55" t="str">
        <x:v>General context</x:v>
      </x:c>
      <x:c r="C4" s="55" t="str">
        <x:v>Median age of persons</x:v>
      </x:c>
      <x:c r="D4" s="55" t="str">
        <x:v>G02</x:v>
      </x:c>
      <x:c r="E4" s="55" t="str">
        <x:v>Median_age_persons</x:v>
      </x:c>
      <x:c r="F4" s="55" t="str">
        <x:v>Overview</x:v>
      </x:c>
      <x:c r="G4" s="55" t="str">
        <x:v>Median, not average</x:v>
      </x:c>
      <x:c r="H4" s="55" t="str">
        <x:v>Yes</x:v>
      </x:c>
    </x:row>
    <x:row r="5" ht="42" customHeight="1">
      <x:c r="A5" s="55" t="str">
        <x:v>age_25_44_share</x:v>
      </x:c>
      <x:c r="B5" s="55" t="str">
        <x:v>General context</x:v>
      </x:c>
      <x:c r="C5" s="55" t="str">
        <x:v>(age 25–34 + age 35–44) / population</x:v>
      </x:c>
      <x:c r="D5" s="55" t="str">
        <x:v>G01</x:v>
      </x:c>
      <x:c r="E5" s="55" t="str">
        <x:v>Age_25_34_yr_P; Age_35_44_yr_P; Tot_P_P</x:v>
      </x:c>
      <x:c r="F5" s="55" t="str">
        <x:v>Target-audience context</x:v>
      </x:c>
      <x:c r="G5" s="55" t="str">
        <x:v>Age bands do not exactly equal 30–45</x:v>
      </x:c>
      <x:c r="H5" s="55" t="str">
        <x:v>Yes</x:v>
      </x:c>
    </x:row>
    <x:row r="6" ht="42" customHeight="1">
      <x:c r="A6" s="55" t="str">
        <x:v>average_household_size</x:v>
      </x:c>
      <x:c r="B6" s="55" t="str">
        <x:v>Lifestyle &amp; housing</x:v>
      </x:c>
      <x:c r="C6" s="55" t="str">
        <x:v>Average persons per household</x:v>
      </x:c>
      <x:c r="D6" s="55" t="str">
        <x:v>G02</x:v>
      </x:c>
      <x:c r="E6" s="55" t="str">
        <x:v>Average_household_size</x:v>
      </x:c>
      <x:c r="F6" s="55" t="str">
        <x:v>Household character</x:v>
      </x:c>
      <x:c r="G6" s="55" t="str">
        <x:v>Occupied private households only</x:v>
      </x:c>
      <x:c r="H6" s="55" t="str">
        <x:v>No</x:v>
      </x:c>
    </x:row>
    <x:row r="7" ht="42" customHeight="1">
      <x:c r="A7" s="55" t="str">
        <x:v>families_with_children_under_15_share</x:v>
      </x:c>
      <x:c r="B7" s="55" t="str">
        <x:v>Lifestyle &amp; education</x:v>
      </x:c>
      <x:c r="C7" s="55" t="str">
        <x:v>Couple + one-parent families with children under 15 / all families</x:v>
      </x:c>
      <x:c r="D7" s="55" t="str">
        <x:v>G29</x:v>
      </x:c>
      <x:c r="E7" s="55" t="str">
        <x:v>CF_ChU15_a_Total_F; OPF_ChU15_a_Total_F; Total_F</x:v>
      </x:c>
      <x:c r="F7" s="55" t="str">
        <x:v>Family-oriented context</x:v>
      </x:c>
      <x:c r="G7" s="55" t="str">
        <x:v>Does not measure school quality</x:v>
      </x:c>
      <x:c r="H7" s="55" t="str">
        <x:v>Yes</x:v>
      </x:c>
    </x:row>
    <x:row r="8" ht="42" customHeight="1">
      <x:c r="A8" s="55" t="str">
        <x:v>median_household_income_weekly_aud</x:v>
      </x:c>
      <x:c r="B8" s="55" t="str">
        <x:v>Affordability</x:v>
      </x:c>
      <x:c r="C8" s="55" t="str">
        <x:v>Median total weekly household income</x:v>
      </x:c>
      <x:c r="D8" s="55" t="str">
        <x:v>G02</x:v>
      </x:c>
      <x:c r="E8" s="55" t="str">
        <x:v>Median_tot_hhd_inc_weekly</x:v>
      </x:c>
      <x:c r="F8" s="55" t="str">
        <x:v>Compare financial capacity</x:v>
      </x:c>
      <x:c r="G8" s="55" t="str">
        <x:v>Nominal 2021 dollars; household composition differs</x:v>
      </x:c>
      <x:c r="H8" s="55" t="str">
        <x:v>Yes</x:v>
      </x:c>
    </x:row>
    <x:row r="9" ht="42" customHeight="1">
      <x:c r="A9" s="55" t="str">
        <x:v>median_rent_weekly_aud</x:v>
      </x:c>
      <x:c r="B9" s="55" t="str">
        <x:v>Affordability</x:v>
      </x:c>
      <x:c r="C9" s="55" t="str">
        <x:v>Median weekly rent among rented dwellings</x:v>
      </x:c>
      <x:c r="D9" s="55" t="str">
        <x:v>G02</x:v>
      </x:c>
      <x:c r="E9" s="55" t="str">
        <x:v>Median_rent_weekly</x:v>
      </x:c>
      <x:c r="F9" s="55" t="str">
        <x:v>Rent context</x:v>
      </x:c>
      <x:c r="G9" s="55" t="str">
        <x:v>Not the current asking rent</x:v>
      </x:c>
      <x:c r="H9" s="55" t="str">
        <x:v>Yes</x:v>
      </x:c>
    </x:row>
    <x:row r="10" ht="42" customHeight="1">
      <x:c r="A10" s="55" t="str">
        <x:v>median_mortgage_monthly_aud</x:v>
      </x:c>
      <x:c r="B10" s="55" t="str">
        <x:v>Affordability</x:v>
      </x:c>
      <x:c r="C10" s="55" t="str">
        <x:v>Median monthly mortgage repayment among dwellings being purchased</x:v>
      </x:c>
      <x:c r="D10" s="55" t="str">
        <x:v>G02</x:v>
      </x:c>
      <x:c r="E10" s="55" t="str">
        <x:v>Median_mortgage_repay_monthly</x:v>
      </x:c>
      <x:c r="F10" s="55" t="str">
        <x:v>Mortgage context</x:v>
      </x:c>
      <x:c r="G10" s="55" t="str">
        <x:v>Not a property price or current repayment estimate</x:v>
      </x:c>
      <x:c r="H10" s="55" t="str">
        <x:v>Yes</x:v>
      </x:c>
    </x:row>
    <x:row r="11" ht="42" customHeight="1">
      <x:c r="A11" s="55" t="str">
        <x:v>renter_share</x:v>
      </x:c>
      <x:c r="B11" s="55" t="str">
        <x:v>Affordability &amp; housing</x:v>
      </x:c>
      <x:c r="C11" s="55" t="str">
        <x:v>Rented occupied dwellings / dwellings with tenure recorded in G37</x:v>
      </x:c>
      <x:c r="D11" s="55" t="str">
        <x:v>G37</x:v>
      </x:c>
      <x:c r="E11" s="55" t="str">
        <x:v>R_Tot_Total; Total_Total</x:v>
      </x:c>
      <x:c r="F11" s="55" t="str">
        <x:v>Tenure context</x:v>
      </x:c>
      <x:c r="G11" s="55" t="str">
        <x:v>Small residual tenure categories remain</x:v>
      </x:c>
      <x:c r="H11" s="55" t="str">
        <x:v>Yes</x:v>
      </x:c>
    </x:row>
    <x:row r="12" ht="42" customHeight="1">
      <x:c r="A12" s="55" t="str">
        <x:v>owned_with_mortgage_share</x:v>
      </x:c>
      <x:c r="B12" s="55" t="str">
        <x:v>Affordability &amp; housing</x:v>
      </x:c>
      <x:c r="C12" s="55" t="str">
        <x:v>Owned-with-mortgage dwellings / G37 total</x:v>
      </x:c>
      <x:c r="D12" s="55" t="str">
        <x:v>G37</x:v>
      </x:c>
      <x:c r="E12" s="55" t="str">
        <x:v>O_MTG_Total; Total_Total</x:v>
      </x:c>
      <x:c r="F12" s="55" t="str">
        <x:v>Tenure context</x:v>
      </x:c>
      <x:c r="G12" s="55" t="str">
        <x:v>Not a measure of mortgage stress</x:v>
      </x:c>
      <x:c r="H12" s="55" t="str">
        <x:v>No</x:v>
      </x:c>
    </x:row>
    <x:row r="13" ht="42" customHeight="1">
      <x:c r="A13" s="55" t="str">
        <x:v>owned_outright_share</x:v>
      </x:c>
      <x:c r="B13" s="55" t="str">
        <x:v>Affordability &amp; housing</x:v>
      </x:c>
      <x:c r="C13" s="55" t="str">
        <x:v>Owned-outright dwellings / G37 total</x:v>
      </x:c>
      <x:c r="D13" s="55" t="str">
        <x:v>G37</x:v>
      </x:c>
      <x:c r="E13" s="55" t="str">
        <x:v>O_OR_Total; Total_Total</x:v>
      </x:c>
      <x:c r="F13" s="55" t="str">
        <x:v>Tenure context</x:v>
      </x:c>
      <x:c r="G13" s="55" t="str">
        <x:v>Age structure can strongly affect this</x:v>
      </x:c>
      <x:c r="H13" s="55" t="str">
        <x:v>No</x:v>
      </x:c>
    </x:row>
    <x:row r="14" ht="42" customHeight="1">
      <x:c r="A14" s="55" t="str">
        <x:v>separate_house_share</x:v>
      </x:c>
      <x:c r="B14" s="55" t="str">
        <x:v>Lifestyle &amp; housing</x:v>
      </x:c>
      <x:c r="C14" s="55" t="str">
        <x:v>Occupied separate houses / occupied private dwellings</x:v>
      </x:c>
      <x:c r="D14" s="55" t="str">
        <x:v>G36</x:v>
      </x:c>
      <x:c r="E14" s="55" t="str">
        <x:v>OPDs_Separate_house_Dwellings; OPDs_Tot_OPDs_Dwellings</x:v>
      </x:c>
      <x:c r="F14" s="55" t="str">
        <x:v>Built-form context</x:v>
      </x:c>
      <x:c r="G14" s="55" t="str">
        <x:v>Does not indicate dwelling quality</x:v>
      </x:c>
      <x:c r="H14" s="55" t="str">
        <x:v>No</x:v>
      </x:c>
    </x:row>
    <x:row r="15" ht="42" customHeight="1">
      <x:c r="A15" s="55" t="str">
        <x:v>townhouse_terrace_share</x:v>
      </x:c>
      <x:c r="B15" s="55" t="str">
        <x:v>Lifestyle &amp; housing</x:v>
      </x:c>
      <x:c r="C15" s="55" t="str">
        <x:v>Occupied semi-detached, row/terrace and townhouse dwellings / occupied private dwellings</x:v>
      </x:c>
      <x:c r="D15" s="55" t="str">
        <x:v>G36</x:v>
      </x:c>
      <x:c r="E15" s="55" t="str">
        <x:v>OPDs_SD_r_t_h_th_Tot_Dwgs; OPDs_Tot_OPDs_Dwellings</x:v>
      </x:c>
      <x:c r="F15" s="55" t="str">
        <x:v>Built-form context</x:v>
      </x:c>
      <x:c r="G15" s="55" t="str">
        <x:v>Combined structural category</x:v>
      </x:c>
      <x:c r="H15" s="55" t="str">
        <x:v>No</x:v>
      </x:c>
    </x:row>
    <x:row r="16" ht="42" customHeight="1">
      <x:c r="A16" s="55" t="str">
        <x:v>apartment_share</x:v>
      </x:c>
      <x:c r="B16" s="55" t="str">
        <x:v>Lifestyle &amp; housing</x:v>
      </x:c>
      <x:c r="C16" s="55" t="str">
        <x:v>Occupied flats/apartments / occupied private dwellings</x:v>
      </x:c>
      <x:c r="D16" s="55" t="str">
        <x:v>G36</x:v>
      </x:c>
      <x:c r="E16" s="55" t="str">
        <x:v>OPDs_Flt_apart_Tot_Dwgs; OPDs_Tot_OPDs_Dwellings</x:v>
      </x:c>
      <x:c r="F16" s="55" t="str">
        <x:v>Built-form context</x:v>
      </x:c>
      <x:c r="G16" s="55" t="str">
        <x:v>Does not indicate apartment height or quality</x:v>
      </x:c>
      <x:c r="H16" s="55" t="str">
        <x:v>Yes</x:v>
      </x:c>
    </x:row>
    <x:row r="17" ht="42" customHeight="1">
      <x:c r="A17" s="55" t="str">
        <x:v>unoccupied_private_dwelling_share</x:v>
      </x:c>
      <x:c r="B17" s="55" t="str">
        <x:v>Housing context</x:v>
      </x:c>
      <x:c r="C17" s="55" t="str">
        <x:v>Unoccupied private dwellings / all private dwellings</x:v>
      </x:c>
      <x:c r="D17" s="55" t="str">
        <x:v>G36</x:v>
      </x:c>
      <x:c r="E17" s="55" t="str">
        <x:v>Unoccupied_PDs_Dwgs; Total_PDs_Dwellings</x:v>
      </x:c>
      <x:c r="F17" s="55" t="str">
        <x:v>Housing-stock context</x:v>
      </x:c>
      <x:c r="G17" s="55" t="str">
        <x:v>Census-night vacancy is not the rental vacancy rate</x:v>
      </x:c>
      <x:c r="H17" s="55" t="str">
        <x:v>No</x:v>
      </x:c>
    </x:row>
    <x:row r="18" ht="42" customHeight="1">
      <x:c r="A18" s="55" t="str">
        <x:v>zero_vehicle_household_share</x:v>
      </x:c>
      <x:c r="B18" s="55" t="str">
        <x:v>Lifestyle &amp; transport</x:v>
      </x:c>
      <x:c r="C18" s="55" t="str">
        <x:v>Occupied dwellings with zero motor vehicles / dwellings counted for vehicle availability</x:v>
      </x:c>
      <x:c r="D18" s="55" t="str">
        <x:v>G34</x:v>
      </x:c>
      <x:c r="E18" s="55" t="str">
        <x:v>Num_MVs_per_dweling_0_MVs; Num_MVs_per_dweling_Tot</x:v>
      </x:c>
      <x:c r="F18" s="55" t="str">
        <x:v>Car-dependence context</x:v>
      </x:c>
      <x:c r="G18" s="55" t="str">
        <x:v>Does not directly measure public-transport access</x:v>
      </x:c>
      <x:c r="H18" s="55" t="str">
        <x:v>No</x:v>
      </x:c>
    </x:row>
    <x:row r="19" ht="42" customHeight="1">
      <x:c r="A19" s="55" t="str">
        <x:v>labour_force_participation_rate</x:v>
      </x:c>
      <x:c r="B19" s="55" t="str">
        <x:v>Education &amp; employment</x:v>
      </x:c>
      <x:c r="C19" s="55" t="str">
        <x:v>ABS published participation percentage / 100</x:v>
      </x:c>
      <x:c r="D19" s="55" t="str">
        <x:v>G43</x:v>
      </x:c>
      <x:c r="E19" s="55" t="str">
        <x:v>Percnt_LabForc_prticipation_P</x:v>
      </x:c>
      <x:c r="F19" s="55" t="str">
        <x:v>Employment context</x:v>
      </x:c>
      <x:c r="G19" s="55" t="str">
        <x:v>2021 labour market conditions may differ from today</x:v>
      </x:c>
      <x:c r="H19" s="55" t="str">
        <x:v>Yes</x:v>
      </x:c>
    </x:row>
    <x:row r="20" ht="42" customHeight="1">
      <x:c r="A20" s="55" t="str">
        <x:v>unemployment_rate</x:v>
      </x:c>
      <x:c r="B20" s="55" t="str">
        <x:v>Education &amp; employment</x:v>
      </x:c>
      <x:c r="C20" s="55" t="str">
        <x:v>ABS published unemployment percentage / 100</x:v>
      </x:c>
      <x:c r="D20" s="55" t="str">
        <x:v>G43</x:v>
      </x:c>
      <x:c r="E20" s="55" t="str">
        <x:v>Percent_Unem_loyment_P</x:v>
      </x:c>
      <x:c r="F20" s="55" t="str">
        <x:v>Employment context</x:v>
      </x:c>
      <x:c r="G20" s="55" t="str">
        <x:v>2021 labour market conditions may differ from today</x:v>
      </x:c>
      <x:c r="H20" s="55" t="str">
        <x:v>Yes</x:v>
      </x:c>
    </x:row>
    <x:row r="21" ht="42" customHeight="1">
      <x:c r="A21" s="55" t="str">
        <x:v>bachelor_or_higher_share_age_15_plus</x:v>
      </x:c>
      <x:c r="B21" s="55" t="str">
        <x:v>Education &amp; employment</x:v>
      </x:c>
      <x:c r="C21" s="55" t="str">
        <x:v>Postgraduate + graduate diploma/certificate + bachelor counts / persons aged 15+</x:v>
      </x:c>
      <x:c r="D21" s="55" t="str">
        <x:v>G43</x:v>
      </x:c>
      <x:c r="E21" s="55" t="str">
        <x:v>non_sch_qual_PostGrad_Dgre_P; non_sch_qual_Gr_Dip_Gr_Crt_P; non_sch_qual_Bchelr_Degree_P; P_15_yrs_over_P</x:v>
      </x:c>
      <x:c r="F21" s="55" t="str">
        <x:v>Education profile</x:v>
      </x:c>
      <x:c r="G21" s="55" t="str">
        <x:v>Denominator includes people without a qualification and current students</x:v>
      </x:c>
      <x:c r="H21" s="55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0c0aded7db6e4574"/>
  </x:tableParts>
</x:worksheet>
</file>